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_Executive_Summary" sheetId="1" r:id="rId1"/>
    <sheet name="02_Weekday_Buckets" sheetId="2" r:id="rId2"/>
    <sheet name="02_Weekend_Slots" sheetId="3" r:id="rId3"/>
    <sheet name="02_Day_of_Week" sheetId="4" r:id="rId4"/>
    <sheet name="03_Timeslot_Performance" sheetId="5" r:id="rId5"/>
    <sheet name="03_Slot_Trajectory" sheetId="6" r:id="rId6"/>
    <sheet name="03_Slot_Longitudinal" sheetId="7" r:id="rId7"/>
    <sheet name="04_Instructor_Performance" sheetId="8" r:id="rId8"/>
    <sheet name="04_Instructor_Longitudinal" sheetId="9" r:id="rId9"/>
    <sheet name="05_Monthly_Trend" sheetId="10" r:id="rId10"/>
    <sheet name="05_Weekly_Trend" sheetId="11" r:id="rId11"/>
    <sheet name="Orders" sheetId="12" r:id="rId12"/>
  </sheets>
  <calcPr calcId="124519" fullCalcOnLoad="1"/>
</workbook>
</file>

<file path=xl/sharedStrings.xml><?xml version="1.0" encoding="utf-8"?>
<sst xmlns="http://schemas.openxmlformats.org/spreadsheetml/2006/main" count="1078" uniqueCount="272">
  <si>
    <t>Metric</t>
  </si>
  <si>
    <t>Value</t>
  </si>
  <si>
    <t>Report Month</t>
  </si>
  <si>
    <t>Total Riders</t>
  </si>
  <si>
    <t>Total Classes</t>
  </si>
  <si>
    <t>Studio Utilization</t>
  </si>
  <si>
    <t>Median Utilization</t>
  </si>
  <si>
    <t>% Classes &gt;= 70%</t>
  </si>
  <si>
    <t>% Classes &lt; 40%</t>
  </si>
  <si>
    <t>Top Day</t>
  </si>
  <si>
    <t>Top Timeslot (min 4 classes)</t>
  </si>
  <si>
    <t>MoM Change</t>
  </si>
  <si>
    <t>Trailing 3-Month Change</t>
  </si>
  <si>
    <t>Aug 2026</t>
  </si>
  <si>
    <t>1,888</t>
  </si>
  <si>
    <t>88</t>
  </si>
  <si>
    <t>52.3%</t>
  </si>
  <si>
    <t>51.2%</t>
  </si>
  <si>
    <t>18.2%</t>
  </si>
  <si>
    <t>29.5%</t>
  </si>
  <si>
    <t>Friday</t>
  </si>
  <si>
    <t>TueThu | 18:35</t>
  </si>
  <si>
    <t>-3.4%</t>
  </si>
  <si>
    <t>-17.0%</t>
  </si>
  <si>
    <t>bucket</t>
  </si>
  <si>
    <t>classes</t>
  </si>
  <si>
    <t>riders</t>
  </si>
  <si>
    <t>utilization</t>
  </si>
  <si>
    <t>Evening</t>
  </si>
  <si>
    <t>Morning</t>
  </si>
  <si>
    <t>slot_time</t>
  </si>
  <si>
    <t>08:00</t>
  </si>
  <si>
    <t>09:00</t>
  </si>
  <si>
    <t>10:15</t>
  </si>
  <si>
    <t>17:00</t>
  </si>
  <si>
    <t>dow</t>
  </si>
  <si>
    <t>utilization_median</t>
  </si>
  <si>
    <t>Monday</t>
  </si>
  <si>
    <t>Tuesday</t>
  </si>
  <si>
    <t>Wednesday</t>
  </si>
  <si>
    <t>Thursday</t>
  </si>
  <si>
    <t>Saturday</t>
  </si>
  <si>
    <t>Sunday</t>
  </si>
  <si>
    <t>slot_key</t>
  </si>
  <si>
    <t>dow_group</t>
  </si>
  <si>
    <t>utilization_stddev</t>
  </si>
  <si>
    <t>baseline_util</t>
  </si>
  <si>
    <t>delta_vs_baseline</t>
  </si>
  <si>
    <t>delta_vs_trailing_3m</t>
  </si>
  <si>
    <t>delta_vs_prev_month</t>
  </si>
  <si>
    <t>flag_low_sample</t>
  </si>
  <si>
    <t>flag_low_sample_negative</t>
  </si>
  <si>
    <t>flag_structurally_weak</t>
  </si>
  <si>
    <t>flag_opportunity</t>
  </si>
  <si>
    <t>MWF | 18:35</t>
  </si>
  <si>
    <t>TueThu | 17:30</t>
  </si>
  <si>
    <t>MWF | 17:30</t>
  </si>
  <si>
    <t>Weekend | 17:00</t>
  </si>
  <si>
    <t>Weekend | 10:15</t>
  </si>
  <si>
    <t>Weekend | 08:00</t>
  </si>
  <si>
    <t>MWF | 16:45</t>
  </si>
  <si>
    <t>Weekend | 09:00</t>
  </si>
  <si>
    <t>MWF | 06:00</t>
  </si>
  <si>
    <t>TueThu | 06:00</t>
  </si>
  <si>
    <t>TueThu | 07:00</t>
  </si>
  <si>
    <t>MWF</t>
  </si>
  <si>
    <t>TueThu</t>
  </si>
  <si>
    <t>Weekend</t>
  </si>
  <si>
    <t>18:35</t>
  </si>
  <si>
    <t>17:30</t>
  </si>
  <si>
    <t>16:45</t>
  </si>
  <si>
    <t>06:00</t>
  </si>
  <si>
    <t>07:00</t>
  </si>
  <si>
    <t>Yes</t>
  </si>
  <si>
    <t>classes_recent</t>
  </si>
  <si>
    <t>util_recent</t>
  </si>
  <si>
    <t>classes_prior</t>
  </si>
  <si>
    <t>util_prior</t>
  </si>
  <si>
    <t>trajectory_delta</t>
  </si>
  <si>
    <t>trend</t>
  </si>
  <si>
    <t>MWF | 08:00</t>
  </si>
  <si>
    <t>MWF | 09:00</t>
  </si>
  <si>
    <t>MWF | 10:15</t>
  </si>
  <si>
    <t>Declining</t>
  </si>
  <si>
    <t>Stable</t>
  </si>
  <si>
    <t>No prior data</t>
  </si>
  <si>
    <t>Slot</t>
  </si>
  <si>
    <t>Sep 2025 Util</t>
  </si>
  <si>
    <t>Sep 2025 Baseline</t>
  </si>
  <si>
    <t>Sep 2025 Delta</t>
  </si>
  <si>
    <t>Oct 2025 Util</t>
  </si>
  <si>
    <t>Oct 2025 Baseline</t>
  </si>
  <si>
    <t>Oct 2025 Delta</t>
  </si>
  <si>
    <t>Nov 2025 Util</t>
  </si>
  <si>
    <t>Nov 2025 Baseline</t>
  </si>
  <si>
    <t>Nov 2025 Delta</t>
  </si>
  <si>
    <t>Dec 2025 Util</t>
  </si>
  <si>
    <t>Dec 2025 Baseline</t>
  </si>
  <si>
    <t>Dec 2025 Delta</t>
  </si>
  <si>
    <t>Jan 2026 Util</t>
  </si>
  <si>
    <t>Jan 2026 Baseline</t>
  </si>
  <si>
    <t>Jan 2026 Delta</t>
  </si>
  <si>
    <t>Feb 2026 Util</t>
  </si>
  <si>
    <t>Feb 2026 Baseline</t>
  </si>
  <si>
    <t>Feb 2026 Delta</t>
  </si>
  <si>
    <t>Mar 2026 Util</t>
  </si>
  <si>
    <t>Mar 2026 Baseline</t>
  </si>
  <si>
    <t>Mar 2026 Delta</t>
  </si>
  <si>
    <t>Apr 2026 Util</t>
  </si>
  <si>
    <t>Apr 2026 Baseline</t>
  </si>
  <si>
    <t>Apr 2026 Delta</t>
  </si>
  <si>
    <t>May 2026 Util</t>
  </si>
  <si>
    <t>May 2026 Baseline</t>
  </si>
  <si>
    <t>May 2026 Delta</t>
  </si>
  <si>
    <t>Jun 2026 Util</t>
  </si>
  <si>
    <t>Jun 2026 Baseline</t>
  </si>
  <si>
    <t>Jun 2026 Delta</t>
  </si>
  <si>
    <t>Jul 2026 Util</t>
  </si>
  <si>
    <t>Jul 2026 Baseline</t>
  </si>
  <si>
    <t>Jul 2026 Delta</t>
  </si>
  <si>
    <t>Aug 2026 Util</t>
  </si>
  <si>
    <t>Aug 2026 Baseline</t>
  </si>
  <si>
    <t>Aug 2026 Delta</t>
  </si>
  <si>
    <t>MWF | 09:30</t>
  </si>
  <si>
    <t>TueThu | 09:00</t>
  </si>
  <si>
    <t>TueThu | 10:15</t>
  </si>
  <si>
    <t>TueThu | 19:40</t>
  </si>
  <si>
    <t>Weekend | 11:30</t>
  </si>
  <si>
    <t>report_instructor</t>
  </si>
  <si>
    <t>slot_baseline</t>
  </si>
  <si>
    <t>lift_vs_slot</t>
  </si>
  <si>
    <t>lift_vs_trailing_3m</t>
  </si>
  <si>
    <t>lift_vs_prev_month</t>
  </si>
  <si>
    <t>Nathalie Ramirez</t>
  </si>
  <si>
    <t>Brooke Schidowka</t>
  </si>
  <si>
    <t>Mariam Meddoui</t>
  </si>
  <si>
    <t>Madalyn Richards</t>
  </si>
  <si>
    <t>Kira Rothwell</t>
  </si>
  <si>
    <t>Jordyn Toonen</t>
  </si>
  <si>
    <t>Dehlia McDonald</t>
  </si>
  <si>
    <t>Kevin Nanakdewa</t>
  </si>
  <si>
    <t>Jadyn Clark</t>
  </si>
  <si>
    <t>Jack Biggar</t>
  </si>
  <si>
    <t>Rich Ang</t>
  </si>
  <si>
    <t>Keeghan Shanahan</t>
  </si>
  <si>
    <t>Instructor</t>
  </si>
  <si>
    <t>Julia Scharpf</t>
  </si>
  <si>
    <t>Keira Else</t>
  </si>
  <si>
    <t>Micayah Coutinho</t>
  </si>
  <si>
    <t>Sydney Reed</t>
  </si>
  <si>
    <t>OVERALL</t>
  </si>
  <si>
    <t>month</t>
  </si>
  <si>
    <t>Sep 2025</t>
  </si>
  <si>
    <t>Oct 2025</t>
  </si>
  <si>
    <t>Nov 2025</t>
  </si>
  <si>
    <t>Dec 2025</t>
  </si>
  <si>
    <t>Jan 2026</t>
  </si>
  <si>
    <t>Feb 2026</t>
  </si>
  <si>
    <t>Mar 2026</t>
  </si>
  <si>
    <t>Apr 2026</t>
  </si>
  <si>
    <t>May 2026</t>
  </si>
  <si>
    <t>Jun 2026</t>
  </si>
  <si>
    <t>Jul 2026</t>
  </si>
  <si>
    <t>week</t>
  </si>
  <si>
    <t>Sep 01, 2025</t>
  </si>
  <si>
    <t>Sep 08, 2025</t>
  </si>
  <si>
    <t>Sep 15, 2025</t>
  </si>
  <si>
    <t>Sep 22, 2025</t>
  </si>
  <si>
    <t>Sep 29, 2025</t>
  </si>
  <si>
    <t>Oct 06, 2025</t>
  </si>
  <si>
    <t>Oct 13, 2025</t>
  </si>
  <si>
    <t>Oct 20, 2025</t>
  </si>
  <si>
    <t>Oct 27, 2025</t>
  </si>
  <si>
    <t>Nov 03, 2025</t>
  </si>
  <si>
    <t>Nov 10, 2025</t>
  </si>
  <si>
    <t>Nov 17, 2025</t>
  </si>
  <si>
    <t>Nov 24, 2025</t>
  </si>
  <si>
    <t>Dec 01, 2025</t>
  </si>
  <si>
    <t>Dec 08, 2025</t>
  </si>
  <si>
    <t>Dec 15, 2025</t>
  </si>
  <si>
    <t>Dec 22, 2025</t>
  </si>
  <si>
    <t>Dec 29, 2025</t>
  </si>
  <si>
    <t>Jan 05, 2026</t>
  </si>
  <si>
    <t>Jan 12, 2026</t>
  </si>
  <si>
    <t>Jan 19, 2026</t>
  </si>
  <si>
    <t>Jan 26, 2026</t>
  </si>
  <si>
    <t>Feb 02, 2026</t>
  </si>
  <si>
    <t>Feb 09, 2026</t>
  </si>
  <si>
    <t>Feb 16, 2026</t>
  </si>
  <si>
    <t>Feb 23, 2026</t>
  </si>
  <si>
    <t>Mar 02, 2026</t>
  </si>
  <si>
    <t>Mar 09, 2026</t>
  </si>
  <si>
    <t>Mar 16, 2026</t>
  </si>
  <si>
    <t>Mar 23, 2026</t>
  </si>
  <si>
    <t>Mar 30, 2026</t>
  </si>
  <si>
    <t>Apr 06, 2026</t>
  </si>
  <si>
    <t>Apr 13, 2026</t>
  </si>
  <si>
    <t>Apr 20, 2026</t>
  </si>
  <si>
    <t>Apr 27, 2026</t>
  </si>
  <si>
    <t>May 04, 2026</t>
  </si>
  <si>
    <t>May 11, 2026</t>
  </si>
  <si>
    <t>May 18, 2026</t>
  </si>
  <si>
    <t>May 25, 2026</t>
  </si>
  <si>
    <t>Jun 01, 2026</t>
  </si>
  <si>
    <t>Jun 08, 2026</t>
  </si>
  <si>
    <t>Jun 15, 2026</t>
  </si>
  <si>
    <t>Jun 22, 2026</t>
  </si>
  <si>
    <t>Jun 29, 2026</t>
  </si>
  <si>
    <t>Jul 06, 2026</t>
  </si>
  <si>
    <t>Jul 13, 2026</t>
  </si>
  <si>
    <t>Jul 20, 2026</t>
  </si>
  <si>
    <t>Jul 27, 2026</t>
  </si>
  <si>
    <t>Aug 03, 2026</t>
  </si>
  <si>
    <t>Aug 10, 2026</t>
  </si>
  <si>
    <t>Aug 17, 2026</t>
  </si>
  <si>
    <t>Aug 24, 2026</t>
  </si>
  <si>
    <t>Aug 31, 2026</t>
  </si>
  <si>
    <t>This page shows a snapshot of studio performance for the report month. Utilization is the average percentage of bikes filled per class, treating each class equally regardless of size. MoM Change compares this month to last month. Trailing 3-Month Change compares this month to the same month three months ago.</t>
  </si>
  <si>
    <t>Colour coding: Blue rows = utilization at or above 70% (strong). Red rows = utilization below 40% (weak). Green delta cell = performing above baseline. Red delta cell = performing below baseline. Alternating grey rows are for readability only.</t>
  </si>
  <si>
    <t>Utilization broken down by weekday time bucket. Morning = 6am/7am. Midday = 8am/9am/9:30am. Late Morning = 10:15am/11:30am. Evening = all remaining weekday slots.</t>
  </si>
  <si>
    <t>Weekend utilization broken down by timeslot. Use this to identify which weekend slots are performing above or below expectations.</t>
  </si>
  <si>
    <t>Average and median utilization by day of week for the report month. Use this to identify which days are structurally strong or weak across all timeslots.</t>
  </si>
  <si>
    <t>Each row is a recurring timeslot. Baseline = full season average. Delta vs Baseline = performance vs season average. Delta vs Trailing 3M = performance vs last 3 months. Delta vs Prev Month = performance vs last month. Green = above baseline, Red = below.</t>
  </si>
  <si>
    <t>Compares each slot's recent 3-month average against the prior period. Growing = improved by 5 or more percentage points. Declining = dropped by 5 or more points. Stable = within that range.</t>
  </si>
  <si>
    <t>Month by month utilization for each timeslot. Each month shows Util (actual), Baseline (season average to date), and Delta. Green delta = beating baseline. Red delta = below baseline.</t>
  </si>
  <si>
    <t>Each row is an instructor. Lift vs Slot = performance vs season baseline. Lift vs Trailing 3M = performance vs last 3 months baseline. Lift vs Prev Month = performance vs last month baseline. Green = positive lift, Red = negative lift.</t>
  </si>
  <si>
    <t>Month by month performance for each instructor by slot. OVERALL rows show blended performance. Each month shows Util, Baseline, and Delta. Green delta = beating baseline. Red delta = below baseline.</t>
  </si>
  <si>
    <t>Monthly utilization trend across the full season.</t>
  </si>
  <si>
    <t>Weekly utilization trend across the full season.</t>
  </si>
  <si>
    <t>SPINCO London -- Orders &amp; Sales -- August 2026</t>
  </si>
  <si>
    <t>Membership Renewals (Auto-Processed)</t>
  </si>
  <si>
    <t>Total Renewals</t>
  </si>
  <si>
    <t>Avg Daily Renewals</t>
  </si>
  <si>
    <t>MoM Change (Avg Daily)</t>
  </si>
  <si>
    <t>Purchase Activity (Volitional Purchases Only)</t>
  </si>
  <si>
    <t>Total Orders</t>
  </si>
  <si>
    <t>Units Sold</t>
  </si>
  <si>
    <t>Total Revenue (CAD)</t>
  </si>
  <si>
    <t>Intro Offer Units (New Riders)</t>
  </si>
  <si>
    <t>Product Group Breakdown</t>
  </si>
  <si>
    <t>Product Group</t>
  </si>
  <si>
    <t>Orders</t>
  </si>
  <si>
    <t>Units</t>
  </si>
  <si>
    <t>Revenue (CAD)</t>
  </si>
  <si>
    <t>% of Revenue</t>
  </si>
  <si>
    <t>Credits</t>
  </si>
  <si>
    <t>Memberships</t>
  </si>
  <si>
    <t>Intro Offers</t>
  </si>
  <si>
    <t>Total</t>
  </si>
  <si>
    <t>Purchases by Hour of Day (Units)</t>
  </si>
  <si>
    <t>Hour</t>
  </si>
  <si>
    <t>05:00</t>
  </si>
  <si>
    <t>10:00</t>
  </si>
  <si>
    <t>11:00</t>
  </si>
  <si>
    <t>12:00</t>
  </si>
  <si>
    <t>13:00</t>
  </si>
  <si>
    <t>14:00</t>
  </si>
  <si>
    <t>15:00</t>
  </si>
  <si>
    <t>16:00</t>
  </si>
  <si>
    <t>18:00</t>
  </si>
  <si>
    <t>19:00</t>
  </si>
  <si>
    <t>20:00</t>
  </si>
  <si>
    <t>21:00</t>
  </si>
  <si>
    <t>22:00</t>
  </si>
  <si>
    <t>23:00</t>
  </si>
  <si>
    <t>00:00</t>
  </si>
  <si>
    <t>01:00</t>
  </si>
  <si>
    <t>02:00</t>
  </si>
  <si>
    <t>03:00</t>
  </si>
  <si>
    <t>04:00</t>
  </si>
  <si>
    <t>Purchases by Day of Week (Units)</t>
  </si>
  <si>
    <t>Intro Offers = New Rider Special and 2-Week Unlimited only. These are acquisition signals, not recurring revenue.</t>
  </si>
</sst>
</file>

<file path=xl/styles.xml><?xml version="1.0" encoding="utf-8"?>
<styleSheet xmlns="http://schemas.openxmlformats.org/spreadsheetml/2006/main">
  <numFmts count="5">
    <numFmt numFmtId="164" formatCode="#,##0"/>
    <numFmt numFmtId="165" formatCode="0.0%"/>
    <numFmt numFmtId="166" formatCode="0.0"/>
    <numFmt numFmtId="167" formatCode="+0.0%;-0.0%"/>
    <numFmt numFmtId="168" formatCode="$#,##0"/>
  </numFmts>
  <fonts count="11">
    <font>
      <sz val="11"/>
      <color theme="1"/>
      <name val="Calibri"/>
      <family val="2"/>
      <scheme val="minor"/>
    </font>
    <font>
      <b/>
      <sz val="10"/>
      <color rgb="FFFFFFFF"/>
      <name val="Arial"/>
      <family val="2"/>
    </font>
    <font>
      <sz val="10"/>
      <color rgb="FF000000"/>
      <name val="Arial"/>
      <family val="2"/>
    </font>
    <font>
      <b/>
      <sz val="11"/>
      <color rgb="FF4D4D4D"/>
      <name val="Arial"/>
      <family val="2"/>
    </font>
    <font>
      <i/>
      <sz val="9"/>
      <color rgb="FF4D4D4D"/>
      <name val="Arial"/>
      <family val="2"/>
    </font>
    <font>
      <b/>
      <sz val="10"/>
      <color rgb="FF000000"/>
      <name val="Arial"/>
      <family val="2"/>
    </font>
    <font>
      <b/>
      <sz val="13"/>
      <color rgb="FFFFFFFF"/>
      <name val="Calibri"/>
      <family val="2"/>
      <scheme val="minor"/>
    </font>
    <font>
      <b/>
      <sz val="11"/>
      <color rgb="FF000000"/>
      <name val="Calibri"/>
      <family val="2"/>
      <scheme val="minor"/>
    </font>
    <font>
      <b/>
      <sz val="11"/>
      <color theme="1"/>
      <name val="Calibri"/>
      <family val="2"/>
      <scheme val="minor"/>
    </font>
    <font>
      <sz val="11"/>
      <color rgb="FFC0392B"/>
      <name val="Calibri"/>
      <family val="2"/>
      <scheme val="minor"/>
    </font>
    <font>
      <b/>
      <sz val="11"/>
      <color rgb="FFFFFFFF"/>
      <name val="Calibri"/>
      <family val="2"/>
      <scheme val="minor"/>
    </font>
  </fonts>
  <fills count="9">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4F4F4"/>
        <bgColor indexed="64"/>
      </patternFill>
    </fill>
    <fill>
      <patternFill patternType="solid">
        <fgColor rgb="FFF4CCCC"/>
        <bgColor indexed="64"/>
      </patternFill>
    </fill>
    <fill>
      <patternFill patternType="solid">
        <fgColor rgb="FFC6EFCE"/>
        <bgColor indexed="64"/>
      </patternFill>
    </fill>
    <fill>
      <patternFill patternType="solid">
        <fgColor rgb="FF4D4D4D"/>
        <bgColor indexed="64"/>
      </patternFill>
    </fill>
    <fill>
      <patternFill patternType="solid">
        <fgColor rgb="FFBBD7ED"/>
        <bgColor indexed="64"/>
      </patternFill>
    </fill>
  </fills>
  <borders count="4">
    <border>
      <left/>
      <right/>
      <top/>
      <bottom/>
      <diagonal/>
    </border>
    <border>
      <left/>
      <right/>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3" fillId="0" borderId="0" xfId="0" applyFont="1" applyAlignment="1">
      <alignment vertical="top" wrapText="1"/>
    </xf>
    <xf numFmtId="0" fontId="4" fillId="0" borderId="0" xfId="0" applyFont="1" applyAlignment="1">
      <alignment vertical="top" wrapText="1"/>
    </xf>
    <xf numFmtId="164" fontId="2" fillId="3" borderId="0" xfId="0" applyNumberFormat="1" applyFont="1" applyFill="1" applyAlignment="1">
      <alignment horizontal="left" vertical="center"/>
    </xf>
    <xf numFmtId="165" fontId="2" fillId="3" borderId="0" xfId="0" applyNumberFormat="1" applyFont="1" applyFill="1" applyAlignment="1">
      <alignment horizontal="left" vertical="center"/>
    </xf>
    <xf numFmtId="164" fontId="2" fillId="4" borderId="0" xfId="0" applyNumberFormat="1" applyFont="1" applyFill="1" applyAlignment="1">
      <alignment horizontal="left" vertical="center"/>
    </xf>
    <xf numFmtId="165" fontId="2" fillId="4" borderId="0" xfId="0" applyNumberFormat="1" applyFont="1" applyFill="1" applyAlignment="1">
      <alignment horizontal="left" vertical="center"/>
    </xf>
    <xf numFmtId="165" fontId="2" fillId="5" borderId="0" xfId="0" applyNumberFormat="1" applyFont="1" applyFill="1" applyAlignment="1">
      <alignment horizontal="left" vertical="center"/>
    </xf>
    <xf numFmtId="165" fontId="2" fillId="6" borderId="0" xfId="0" applyNumberFormat="1" applyFont="1" applyFill="1" applyAlignment="1">
      <alignment horizontal="left" vertical="center"/>
    </xf>
    <xf numFmtId="0" fontId="2" fillId="5" borderId="0" xfId="0" applyFont="1" applyFill="1" applyAlignment="1">
      <alignment horizontal="left" vertical="center"/>
    </xf>
    <xf numFmtId="164" fontId="2" fillId="5" borderId="0" xfId="0" applyNumberFormat="1" applyFont="1" applyFill="1" applyAlignment="1">
      <alignment horizontal="left" vertical="center"/>
    </xf>
    <xf numFmtId="0" fontId="1" fillId="7" borderId="0" xfId="0" applyFont="1" applyFill="1" applyAlignment="1">
      <alignment horizontal="left" vertical="center"/>
    </xf>
    <xf numFmtId="165" fontId="1" fillId="7" borderId="0" xfId="0" applyNumberFormat="1" applyFont="1" applyFill="1" applyAlignment="1">
      <alignment horizontal="left" vertical="center"/>
    </xf>
    <xf numFmtId="165" fontId="5" fillId="6" borderId="0" xfId="0" applyNumberFormat="1" applyFont="1" applyFill="1" applyAlignment="1">
      <alignment horizontal="left" vertical="center"/>
    </xf>
    <xf numFmtId="165" fontId="5" fillId="5" borderId="0" xfId="0" applyNumberFormat="1" applyFont="1" applyFill="1" applyAlignment="1">
      <alignment horizontal="left" vertical="center"/>
    </xf>
    <xf numFmtId="0" fontId="2" fillId="8" borderId="0" xfId="0" applyFont="1" applyFill="1" applyAlignment="1">
      <alignment horizontal="left" vertical="center"/>
    </xf>
    <xf numFmtId="164" fontId="2" fillId="8" borderId="0" xfId="0" applyNumberFormat="1" applyFont="1" applyFill="1" applyAlignment="1">
      <alignment horizontal="left" vertical="center"/>
    </xf>
    <xf numFmtId="165" fontId="2" fillId="8" borderId="0" xfId="0" applyNumberFormat="1" applyFont="1" applyFill="1" applyAlignment="1">
      <alignment horizontal="left" vertical="center"/>
    </xf>
    <xf numFmtId="0" fontId="6" fillId="2" borderId="1" xfId="0" applyFont="1" applyFill="1" applyBorder="1" applyAlignment="1">
      <alignment horizontal="left" vertical="center"/>
    </xf>
    <xf numFmtId="0" fontId="7" fillId="8" borderId="2" xfId="0" applyFont="1" applyFill="1" applyBorder="1" applyAlignment="1">
      <alignment horizontal="left" vertical="center"/>
    </xf>
    <xf numFmtId="0" fontId="8" fillId="4" borderId="3" xfId="0" applyFont="1" applyFill="1" applyBorder="1" applyAlignment="1">
      <alignment horizontal="left" vertical="center"/>
    </xf>
    <xf numFmtId="164" fontId="0" fillId="0" borderId="3" xfId="0" applyNumberFormat="1" applyBorder="1" applyAlignment="1">
      <alignment horizontal="center"/>
    </xf>
    <xf numFmtId="166" fontId="0" fillId="0" borderId="3" xfId="0" applyNumberFormat="1" applyBorder="1" applyAlignment="1">
      <alignment horizontal="center"/>
    </xf>
    <xf numFmtId="167" fontId="9" fillId="0" borderId="3" xfId="0" applyNumberFormat="1" applyFont="1" applyBorder="1" applyAlignment="1">
      <alignment horizontal="center"/>
    </xf>
    <xf numFmtId="168" fontId="0" fillId="0" borderId="3" xfId="0" applyNumberFormat="1" applyBorder="1" applyAlignment="1">
      <alignment horizontal="center"/>
    </xf>
    <xf numFmtId="0" fontId="10" fillId="2" borderId="3" xfId="0" applyFont="1" applyFill="1" applyBorder="1" applyAlignment="1">
      <alignment horizontal="center" vertical="center"/>
    </xf>
    <xf numFmtId="165" fontId="0" fillId="0" borderId="3" xfId="0" applyNumberFormat="1" applyBorder="1" applyAlignment="1">
      <alignment horizontal="center"/>
    </xf>
    <xf numFmtId="0" fontId="0" fillId="3"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BBD7ED"/>
  </sheetPr>
  <dimension ref="A1:I16"/>
  <sheetViews>
    <sheetView tabSelected="1" workbookViewId="0">
      <pane ySplit="1" topLeftCell="A2" activePane="bottomLeft" state="frozen"/>
      <selection pane="bottomLeft"/>
    </sheetView>
  </sheetViews>
  <sheetFormatPr defaultRowHeight="15"/>
  <cols>
    <col min="1" max="1" width="35.7109375" customWidth="1"/>
    <col min="2" max="2" width="20.7109375" customWidth="1"/>
  </cols>
  <sheetData>
    <row r="1" spans="1:9">
      <c r="A1" s="1" t="s">
        <v>0</v>
      </c>
      <c r="B1" s="1" t="s">
        <v>1</v>
      </c>
    </row>
    <row r="2" spans="1:9">
      <c r="A2" s="2" t="s">
        <v>2</v>
      </c>
      <c r="B2" s="2" t="s">
        <v>13</v>
      </c>
    </row>
    <row r="3" spans="1:9">
      <c r="A3" s="3" t="s">
        <v>3</v>
      </c>
      <c r="B3" s="3" t="s">
        <v>14</v>
      </c>
    </row>
    <row r="4" spans="1:9">
      <c r="A4" s="2" t="s">
        <v>4</v>
      </c>
      <c r="B4" s="2" t="s">
        <v>15</v>
      </c>
    </row>
    <row r="5" spans="1:9">
      <c r="A5" s="3" t="s">
        <v>5</v>
      </c>
      <c r="B5" s="3" t="s">
        <v>16</v>
      </c>
    </row>
    <row r="6" spans="1:9">
      <c r="A6" s="2" t="s">
        <v>6</v>
      </c>
      <c r="B6" s="2" t="s">
        <v>17</v>
      </c>
    </row>
    <row r="7" spans="1:9">
      <c r="A7" s="3" t="s">
        <v>7</v>
      </c>
      <c r="B7" s="3" t="s">
        <v>18</v>
      </c>
    </row>
    <row r="8" spans="1:9">
      <c r="A8" s="2" t="s">
        <v>8</v>
      </c>
      <c r="B8" s="2" t="s">
        <v>19</v>
      </c>
    </row>
    <row r="9" spans="1:9">
      <c r="A9" s="3" t="s">
        <v>9</v>
      </c>
      <c r="B9" s="3" t="s">
        <v>20</v>
      </c>
    </row>
    <row r="10" spans="1:9">
      <c r="A10" s="2" t="s">
        <v>10</v>
      </c>
      <c r="B10" s="2" t="s">
        <v>21</v>
      </c>
    </row>
    <row r="11" spans="1:9">
      <c r="A11" s="3" t="s">
        <v>11</v>
      </c>
      <c r="B11" s="3" t="s">
        <v>22</v>
      </c>
    </row>
    <row r="12" spans="1:9">
      <c r="A12" s="2" t="s">
        <v>12</v>
      </c>
      <c r="B12" s="2" t="s">
        <v>23</v>
      </c>
    </row>
    <row r="15" spans="1:9" ht="60" customHeight="1">
      <c r="A15" s="4" t="s">
        <v>217</v>
      </c>
      <c r="B15" s="4"/>
      <c r="C15" s="4"/>
      <c r="D15" s="4"/>
      <c r="E15" s="4"/>
      <c r="F15" s="4"/>
      <c r="G15" s="4"/>
      <c r="H15" s="4"/>
      <c r="I15" s="4"/>
    </row>
    <row r="16" spans="1:9" ht="30" customHeight="1">
      <c r="A16" s="5" t="s">
        <v>218</v>
      </c>
      <c r="B16" s="5"/>
      <c r="C16" s="5"/>
      <c r="D16" s="5"/>
      <c r="E16" s="5"/>
      <c r="F16" s="5"/>
      <c r="G16" s="5"/>
      <c r="H16" s="5"/>
      <c r="I16" s="5"/>
    </row>
  </sheetData>
  <mergeCells count="2">
    <mergeCell ref="A15:I15"/>
    <mergeCell ref="A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BBD7ED"/>
  </sheetPr>
  <dimension ref="A1:I7"/>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14.7109375" customWidth="1"/>
    <col min="4" max="4" width="18.7109375" customWidth="1"/>
  </cols>
  <sheetData>
    <row r="1" spans="1:9">
      <c r="A1" s="1" t="s">
        <v>24</v>
      </c>
      <c r="B1" s="1" t="s">
        <v>25</v>
      </c>
      <c r="C1" s="1" t="s">
        <v>26</v>
      </c>
      <c r="D1" s="1" t="s">
        <v>27</v>
      </c>
    </row>
    <row r="2" spans="1:9">
      <c r="A2" s="2" t="s">
        <v>28</v>
      </c>
      <c r="B2" s="6">
        <v>36</v>
      </c>
      <c r="C2" s="6">
        <v>708</v>
      </c>
      <c r="D2" s="7">
        <v>0.48</v>
      </c>
    </row>
    <row r="3" spans="1:9">
      <c r="A3" s="3" t="s">
        <v>29</v>
      </c>
      <c r="B3" s="8">
        <v>27</v>
      </c>
      <c r="C3" s="8">
        <v>609</v>
      </c>
      <c r="D3" s="9">
        <v>0.55</v>
      </c>
    </row>
    <row r="6" spans="1:9" ht="60" customHeight="1">
      <c r="A6" s="4" t="s">
        <v>219</v>
      </c>
      <c r="B6" s="4"/>
      <c r="C6" s="4"/>
      <c r="D6" s="4"/>
      <c r="E6" s="4"/>
      <c r="F6" s="4"/>
      <c r="G6" s="4"/>
      <c r="H6" s="4"/>
      <c r="I6" s="4"/>
    </row>
    <row r="7" spans="1:9" ht="30" customHeight="1">
      <c r="A7" s="5" t="s">
        <v>218</v>
      </c>
      <c r="B7" s="5"/>
      <c r="C7" s="5"/>
      <c r="D7" s="5"/>
      <c r="E7" s="5"/>
      <c r="F7" s="5"/>
      <c r="G7" s="5"/>
      <c r="H7" s="5"/>
      <c r="I7" s="5"/>
    </row>
  </sheetData>
  <mergeCells count="2">
    <mergeCell ref="A6:I6"/>
    <mergeCell ref="A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BBD7ED"/>
  </sheetPr>
  <dimension ref="A1:I9"/>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14.7109375" customWidth="1"/>
    <col min="4" max="4" width="18.7109375" customWidth="1"/>
  </cols>
  <sheetData>
    <row r="1" spans="1:9">
      <c r="A1" s="1" t="s">
        <v>30</v>
      </c>
      <c r="B1" s="1" t="s">
        <v>25</v>
      </c>
      <c r="C1" s="1" t="s">
        <v>26</v>
      </c>
      <c r="D1" s="1" t="s">
        <v>27</v>
      </c>
    </row>
    <row r="2" spans="1:9">
      <c r="A2" s="2" t="s">
        <v>31</v>
      </c>
      <c r="B2" s="6">
        <v>4</v>
      </c>
      <c r="C2" s="6">
        <v>74</v>
      </c>
      <c r="D2" s="7">
        <v>0.451</v>
      </c>
    </row>
    <row r="3" spans="1:9">
      <c r="A3" s="3" t="s">
        <v>32</v>
      </c>
      <c r="B3" s="8">
        <v>9</v>
      </c>
      <c r="C3" s="8">
        <v>236</v>
      </c>
      <c r="D3" s="9">
        <v>0.64</v>
      </c>
    </row>
    <row r="4" spans="1:9">
      <c r="A4" s="2" t="s">
        <v>33</v>
      </c>
      <c r="B4" s="6">
        <v>8</v>
      </c>
      <c r="C4" s="6">
        <v>192</v>
      </c>
      <c r="D4" s="7">
        <v>0.585</v>
      </c>
    </row>
    <row r="5" spans="1:9">
      <c r="A5" s="3" t="s">
        <v>34</v>
      </c>
      <c r="B5" s="8">
        <v>4</v>
      </c>
      <c r="C5" s="8">
        <v>69</v>
      </c>
      <c r="D5" s="9">
        <v>0.421</v>
      </c>
    </row>
    <row r="8" spans="1:9" ht="60" customHeight="1">
      <c r="A8" s="4" t="s">
        <v>220</v>
      </c>
      <c r="B8" s="4"/>
      <c r="C8" s="4"/>
      <c r="D8" s="4"/>
      <c r="E8" s="4"/>
      <c r="F8" s="4"/>
      <c r="G8" s="4"/>
      <c r="H8" s="4"/>
      <c r="I8" s="4"/>
    </row>
    <row r="9" spans="1:9" ht="30" customHeight="1">
      <c r="A9" s="5" t="s">
        <v>218</v>
      </c>
      <c r="B9" s="5"/>
      <c r="C9" s="5"/>
      <c r="D9" s="5"/>
      <c r="E9" s="5"/>
      <c r="F9" s="5"/>
      <c r="G9" s="5"/>
      <c r="H9" s="5"/>
      <c r="I9" s="5"/>
    </row>
  </sheetData>
  <mergeCells count="2">
    <mergeCell ref="A8:I8"/>
    <mergeCell ref="A9:I9"/>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BBD7ED"/>
  </sheetPr>
  <dimension ref="A1:I12"/>
  <sheetViews>
    <sheetView workbookViewId="0">
      <pane ySplit="1" topLeftCell="A2" activePane="bottomLeft" state="frozen"/>
      <selection pane="bottomLeft"/>
    </sheetView>
  </sheetViews>
  <sheetFormatPr defaultRowHeight="15"/>
  <cols>
    <col min="1" max="1" width="18.7109375" customWidth="1"/>
    <col min="2" max="2" width="12.7109375" customWidth="1"/>
    <col min="3" max="3" width="14.7109375" customWidth="1"/>
    <col min="4" max="4" width="18.7109375" customWidth="1"/>
    <col min="5" max="5" width="22.7109375" customWidth="1"/>
  </cols>
  <sheetData>
    <row r="1" spans="1:9">
      <c r="A1" s="1" t="s">
        <v>35</v>
      </c>
      <c r="B1" s="1" t="s">
        <v>25</v>
      </c>
      <c r="C1" s="1" t="s">
        <v>26</v>
      </c>
      <c r="D1" s="1" t="s">
        <v>27</v>
      </c>
      <c r="E1" s="1" t="s">
        <v>36</v>
      </c>
    </row>
    <row r="2" spans="1:9">
      <c r="A2" s="2" t="s">
        <v>37</v>
      </c>
      <c r="B2" s="6">
        <v>12</v>
      </c>
      <c r="C2" s="6">
        <v>259</v>
      </c>
      <c r="D2" s="7">
        <v>0.526</v>
      </c>
      <c r="E2" s="7">
        <v>0.488</v>
      </c>
    </row>
    <row r="3" spans="1:9">
      <c r="A3" s="3" t="s">
        <v>38</v>
      </c>
      <c r="B3" s="8">
        <v>13</v>
      </c>
      <c r="C3" s="8">
        <v>271</v>
      </c>
      <c r="D3" s="9">
        <v>0.508</v>
      </c>
      <c r="E3" s="9">
        <v>0.537</v>
      </c>
    </row>
    <row r="4" spans="1:9">
      <c r="A4" s="2" t="s">
        <v>39</v>
      </c>
      <c r="B4" s="6">
        <v>12</v>
      </c>
      <c r="C4" s="6">
        <v>203</v>
      </c>
      <c r="D4" s="7">
        <v>0.413</v>
      </c>
      <c r="E4" s="7">
        <v>0.402</v>
      </c>
    </row>
    <row r="5" spans="1:9">
      <c r="A5" s="3" t="s">
        <v>40</v>
      </c>
      <c r="B5" s="8">
        <v>16</v>
      </c>
      <c r="C5" s="8">
        <v>349</v>
      </c>
      <c r="D5" s="9">
        <v>0.532</v>
      </c>
      <c r="E5" s="9">
        <v>0.476</v>
      </c>
    </row>
    <row r="6" spans="1:9">
      <c r="A6" s="2" t="s">
        <v>20</v>
      </c>
      <c r="B6" s="6">
        <v>10</v>
      </c>
      <c r="C6" s="6">
        <v>235</v>
      </c>
      <c r="D6" s="7">
        <v>0.573</v>
      </c>
      <c r="E6" s="7">
        <v>0.5610000000000001</v>
      </c>
    </row>
    <row r="7" spans="1:9">
      <c r="A7" s="3" t="s">
        <v>41</v>
      </c>
      <c r="B7" s="8">
        <v>12</v>
      </c>
      <c r="C7" s="8">
        <v>273</v>
      </c>
      <c r="D7" s="9">
        <v>0.555</v>
      </c>
      <c r="E7" s="9">
        <v>0.5610000000000001</v>
      </c>
    </row>
    <row r="8" spans="1:9">
      <c r="A8" s="2" t="s">
        <v>42</v>
      </c>
      <c r="B8" s="6">
        <v>13</v>
      </c>
      <c r="C8" s="6">
        <v>298</v>
      </c>
      <c r="D8" s="7">
        <v>0.5590000000000001</v>
      </c>
      <c r="E8" s="7">
        <v>0.5610000000000001</v>
      </c>
    </row>
    <row r="11" spans="1:9" ht="60" customHeight="1">
      <c r="A11" s="4" t="s">
        <v>221</v>
      </c>
      <c r="B11" s="4"/>
      <c r="C11" s="4"/>
      <c r="D11" s="4"/>
      <c r="E11" s="4"/>
      <c r="F11" s="4"/>
      <c r="G11" s="4"/>
      <c r="H11" s="4"/>
      <c r="I11" s="4"/>
    </row>
    <row r="12" spans="1:9" ht="30" customHeight="1">
      <c r="A12" s="5" t="s">
        <v>218</v>
      </c>
      <c r="B12" s="5"/>
      <c r="C12" s="5"/>
      <c r="D12" s="5"/>
      <c r="E12" s="5"/>
      <c r="F12" s="5"/>
      <c r="G12" s="5"/>
      <c r="H12" s="5"/>
      <c r="I12" s="5"/>
    </row>
  </sheetData>
  <mergeCells count="2">
    <mergeCell ref="A11:I11"/>
    <mergeCell ref="A12:I12"/>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C6EFCE"/>
  </sheetPr>
  <dimension ref="A1:O17"/>
  <sheetViews>
    <sheetView workbookViewId="0">
      <pane ySplit="1" topLeftCell="A2" activePane="bottomLeft" state="frozen"/>
      <selection pane="bottomLeft"/>
    </sheetView>
  </sheetViews>
  <sheetFormatPr defaultRowHeight="15"/>
  <cols>
    <col min="1" max="1" width="22.7109375" customWidth="1"/>
    <col min="2" max="2" width="14.7109375" customWidth="1"/>
    <col min="3" max="3" width="12.7109375" customWidth="1"/>
    <col min="4" max="4" width="10.7109375" customWidth="1"/>
    <col min="5" max="5" width="12.7109375" customWidth="1"/>
    <col min="6" max="6" width="14.7109375" customWidth="1"/>
    <col min="7" max="10" width="16.7109375" customWidth="1"/>
    <col min="11" max="11" width="18.7109375" customWidth="1"/>
    <col min="12" max="12" width="22.7109375" customWidth="1"/>
    <col min="13" max="13" width="18.7109375" customWidth="1"/>
  </cols>
  <sheetData>
    <row r="1" spans="1:15">
      <c r="A1" s="1" t="s">
        <v>43</v>
      </c>
      <c r="B1" s="1" t="s">
        <v>44</v>
      </c>
      <c r="C1" s="1" t="s">
        <v>30</v>
      </c>
      <c r="D1" s="1" t="s">
        <v>25</v>
      </c>
      <c r="E1" s="1" t="s">
        <v>26</v>
      </c>
      <c r="F1" s="1" t="s">
        <v>27</v>
      </c>
      <c r="G1" s="1" t="s">
        <v>45</v>
      </c>
      <c r="H1" s="1" t="s">
        <v>46</v>
      </c>
      <c r="I1" s="1" t="s">
        <v>47</v>
      </c>
      <c r="J1" s="1" t="s">
        <v>48</v>
      </c>
      <c r="K1" s="1" t="s">
        <v>49</v>
      </c>
      <c r="L1" s="1" t="s">
        <v>50</v>
      </c>
      <c r="M1" s="1" t="s">
        <v>51</v>
      </c>
      <c r="N1" s="1" t="s">
        <v>52</v>
      </c>
      <c r="O1" s="1" t="s">
        <v>53</v>
      </c>
    </row>
    <row r="2" spans="1:15">
      <c r="A2" s="2" t="s">
        <v>54</v>
      </c>
      <c r="B2" s="2" t="s">
        <v>65</v>
      </c>
      <c r="C2" s="2" t="s">
        <v>68</v>
      </c>
      <c r="D2" s="6">
        <v>10</v>
      </c>
      <c r="E2" s="6">
        <v>171</v>
      </c>
      <c r="F2" s="7">
        <v>0.417</v>
      </c>
      <c r="G2" s="7">
        <v>0.149</v>
      </c>
      <c r="H2" s="7">
        <v>0.74</v>
      </c>
      <c r="I2" s="10">
        <v>-0.323</v>
      </c>
      <c r="J2" s="10">
        <v>-0.108</v>
      </c>
      <c r="K2" s="10">
        <v>-0.067</v>
      </c>
      <c r="L2" s="2"/>
      <c r="M2" s="2"/>
      <c r="N2" s="2" t="s">
        <v>73</v>
      </c>
      <c r="O2" s="2"/>
    </row>
    <row r="3" spans="1:15">
      <c r="A3" s="3" t="s">
        <v>55</v>
      </c>
      <c r="B3" s="3" t="s">
        <v>66</v>
      </c>
      <c r="C3" s="3" t="s">
        <v>69</v>
      </c>
      <c r="D3" s="8">
        <v>7</v>
      </c>
      <c r="E3" s="8">
        <v>115</v>
      </c>
      <c r="F3" s="9">
        <v>0.401</v>
      </c>
      <c r="G3" s="9">
        <v>0.074</v>
      </c>
      <c r="H3" s="9">
        <v>0.714</v>
      </c>
      <c r="I3" s="10">
        <v>-0.313</v>
      </c>
      <c r="J3" s="10">
        <v>-0.234</v>
      </c>
      <c r="K3" s="10">
        <v>-0.247</v>
      </c>
      <c r="L3" s="3"/>
      <c r="M3" s="3"/>
      <c r="N3" s="3" t="s">
        <v>73</v>
      </c>
      <c r="O3" s="3"/>
    </row>
    <row r="4" spans="1:15">
      <c r="A4" s="2" t="s">
        <v>56</v>
      </c>
      <c r="B4" s="2" t="s">
        <v>65</v>
      </c>
      <c r="C4" s="2" t="s">
        <v>69</v>
      </c>
      <c r="D4" s="6">
        <v>9</v>
      </c>
      <c r="E4" s="6">
        <v>163</v>
      </c>
      <c r="F4" s="7">
        <v>0.442</v>
      </c>
      <c r="G4" s="7">
        <v>0.171</v>
      </c>
      <c r="H4" s="7">
        <v>0.712</v>
      </c>
      <c r="I4" s="10">
        <v>-0.271</v>
      </c>
      <c r="J4" s="10">
        <v>-0.117</v>
      </c>
      <c r="K4" s="10">
        <v>-0.116</v>
      </c>
      <c r="L4" s="2"/>
      <c r="M4" s="2"/>
      <c r="N4" s="2" t="s">
        <v>73</v>
      </c>
      <c r="O4" s="2"/>
    </row>
    <row r="5" spans="1:15">
      <c r="A5" s="3" t="s">
        <v>57</v>
      </c>
      <c r="B5" s="3" t="s">
        <v>67</v>
      </c>
      <c r="C5" s="3" t="s">
        <v>34</v>
      </c>
      <c r="D5" s="8">
        <v>4</v>
      </c>
      <c r="E5" s="8">
        <v>69</v>
      </c>
      <c r="F5" s="9">
        <v>0.421</v>
      </c>
      <c r="G5" s="9">
        <v>0.208</v>
      </c>
      <c r="H5" s="9">
        <v>0.627</v>
      </c>
      <c r="I5" s="10">
        <v>-0.206</v>
      </c>
      <c r="J5" s="10">
        <v>-0.075</v>
      </c>
      <c r="K5" s="10">
        <v>-0.091</v>
      </c>
      <c r="L5" s="3"/>
      <c r="M5" s="3"/>
      <c r="N5" s="3" t="s">
        <v>73</v>
      </c>
      <c r="O5" s="3"/>
    </row>
    <row r="6" spans="1:15">
      <c r="A6" s="2" t="s">
        <v>58</v>
      </c>
      <c r="B6" s="2" t="s">
        <v>67</v>
      </c>
      <c r="C6" s="2" t="s">
        <v>33</v>
      </c>
      <c r="D6" s="6">
        <v>8</v>
      </c>
      <c r="E6" s="6">
        <v>192</v>
      </c>
      <c r="F6" s="7">
        <v>0.585</v>
      </c>
      <c r="G6" s="7">
        <v>0.183</v>
      </c>
      <c r="H6" s="7">
        <v>0.724</v>
      </c>
      <c r="I6" s="10">
        <v>-0.138</v>
      </c>
      <c r="J6" s="10">
        <v>-0.03</v>
      </c>
      <c r="K6" s="11">
        <v>0.015</v>
      </c>
      <c r="L6" s="2"/>
      <c r="M6" s="2"/>
      <c r="N6" s="2" t="s">
        <v>73</v>
      </c>
      <c r="O6" s="2"/>
    </row>
    <row r="7" spans="1:15">
      <c r="A7" s="3" t="s">
        <v>21</v>
      </c>
      <c r="B7" s="3" t="s">
        <v>66</v>
      </c>
      <c r="C7" s="3" t="s">
        <v>68</v>
      </c>
      <c r="D7" s="8">
        <v>6</v>
      </c>
      <c r="E7" s="8">
        <v>161</v>
      </c>
      <c r="F7" s="9">
        <v>0.654</v>
      </c>
      <c r="G7" s="9">
        <v>0.26</v>
      </c>
      <c r="H7" s="9">
        <v>0.768</v>
      </c>
      <c r="I7" s="10">
        <v>-0.114</v>
      </c>
      <c r="J7" s="11">
        <v>0.013</v>
      </c>
      <c r="K7" s="11">
        <v>0.08799999999999999</v>
      </c>
      <c r="L7" s="3"/>
      <c r="M7" s="3"/>
      <c r="N7" s="3" t="s">
        <v>73</v>
      </c>
      <c r="O7" s="3"/>
    </row>
    <row r="8" spans="1:15">
      <c r="A8" s="2" t="s">
        <v>59</v>
      </c>
      <c r="B8" s="2" t="s">
        <v>67</v>
      </c>
      <c r="C8" s="2" t="s">
        <v>31</v>
      </c>
      <c r="D8" s="6">
        <v>4</v>
      </c>
      <c r="E8" s="6">
        <v>74</v>
      </c>
      <c r="F8" s="7">
        <v>0.451</v>
      </c>
      <c r="G8" s="7">
        <v>0.073</v>
      </c>
      <c r="H8" s="7">
        <v>0.5580000000000001</v>
      </c>
      <c r="I8" s="10">
        <v>-0.107</v>
      </c>
      <c r="J8" s="10">
        <v>-0.049</v>
      </c>
      <c r="K8" s="11">
        <v>0.03</v>
      </c>
      <c r="L8" s="2"/>
      <c r="M8" s="2"/>
      <c r="N8" s="2" t="s">
        <v>73</v>
      </c>
      <c r="O8" s="2"/>
    </row>
    <row r="9" spans="1:15">
      <c r="A9" s="3" t="s">
        <v>60</v>
      </c>
      <c r="B9" s="3" t="s">
        <v>65</v>
      </c>
      <c r="C9" s="3" t="s">
        <v>70</v>
      </c>
      <c r="D9" s="8">
        <v>4</v>
      </c>
      <c r="E9" s="8">
        <v>98</v>
      </c>
      <c r="F9" s="9">
        <v>0.598</v>
      </c>
      <c r="G9" s="9">
        <v>0.083</v>
      </c>
      <c r="H9" s="9">
        <v>0.702</v>
      </c>
      <c r="I9" s="10">
        <v>-0.105</v>
      </c>
      <c r="J9" s="10">
        <v>-0.033</v>
      </c>
      <c r="K9" s="10">
        <v>-0.027</v>
      </c>
      <c r="L9" s="3"/>
      <c r="M9" s="3"/>
      <c r="N9" s="3" t="s">
        <v>73</v>
      </c>
      <c r="O9" s="3"/>
    </row>
    <row r="10" spans="1:15">
      <c r="A10" s="2" t="s">
        <v>61</v>
      </c>
      <c r="B10" s="2" t="s">
        <v>67</v>
      </c>
      <c r="C10" s="2" t="s">
        <v>32</v>
      </c>
      <c r="D10" s="6">
        <v>9</v>
      </c>
      <c r="E10" s="6">
        <v>236</v>
      </c>
      <c r="F10" s="7">
        <v>0.64</v>
      </c>
      <c r="G10" s="7">
        <v>0.179</v>
      </c>
      <c r="H10" s="7">
        <v>0.6860000000000001</v>
      </c>
      <c r="I10" s="10">
        <v>-0.046</v>
      </c>
      <c r="J10" s="10">
        <v>-0.027</v>
      </c>
      <c r="K10" s="10">
        <v>-0.028</v>
      </c>
      <c r="L10" s="2"/>
      <c r="M10" s="2"/>
      <c r="N10" s="2"/>
      <c r="O10" s="2"/>
    </row>
    <row r="11" spans="1:15">
      <c r="A11" s="3" t="s">
        <v>62</v>
      </c>
      <c r="B11" s="3" t="s">
        <v>65</v>
      </c>
      <c r="C11" s="3" t="s">
        <v>71</v>
      </c>
      <c r="D11" s="8">
        <v>11</v>
      </c>
      <c r="E11" s="8">
        <v>265</v>
      </c>
      <c r="F11" s="9">
        <v>0.588</v>
      </c>
      <c r="G11" s="9">
        <v>0.148</v>
      </c>
      <c r="H11" s="9">
        <v>0.625</v>
      </c>
      <c r="I11" s="10">
        <v>-0.037</v>
      </c>
      <c r="J11" s="10">
        <v>-0.058</v>
      </c>
      <c r="K11" s="10">
        <v>-0.022</v>
      </c>
      <c r="L11" s="3"/>
      <c r="M11" s="3"/>
      <c r="N11" s="3"/>
      <c r="O11" s="3"/>
    </row>
    <row r="12" spans="1:15">
      <c r="A12" s="2" t="s">
        <v>63</v>
      </c>
      <c r="B12" s="2" t="s">
        <v>66</v>
      </c>
      <c r="C12" s="2" t="s">
        <v>71</v>
      </c>
      <c r="D12" s="6">
        <v>8</v>
      </c>
      <c r="E12" s="6">
        <v>173</v>
      </c>
      <c r="F12" s="7">
        <v>0.527</v>
      </c>
      <c r="G12" s="7">
        <v>0.125</v>
      </c>
      <c r="H12" s="7">
        <v>0.518</v>
      </c>
      <c r="I12" s="11">
        <v>0.008999999999999999</v>
      </c>
      <c r="J12" s="11">
        <v>0.011</v>
      </c>
      <c r="K12" s="11">
        <v>0.064</v>
      </c>
      <c r="L12" s="2"/>
      <c r="M12" s="2"/>
      <c r="N12" s="2"/>
      <c r="O12" s="2"/>
    </row>
    <row r="13" spans="1:15">
      <c r="A13" s="3" t="s">
        <v>64</v>
      </c>
      <c r="B13" s="3" t="s">
        <v>66</v>
      </c>
      <c r="C13" s="3" t="s">
        <v>72</v>
      </c>
      <c r="D13" s="8">
        <v>8</v>
      </c>
      <c r="E13" s="8">
        <v>171</v>
      </c>
      <c r="F13" s="9">
        <v>0.521</v>
      </c>
      <c r="G13" s="9">
        <v>0.134</v>
      </c>
      <c r="H13" s="9">
        <v>0.495</v>
      </c>
      <c r="I13" s="11">
        <v>0.026</v>
      </c>
      <c r="J13" s="11">
        <v>0.063</v>
      </c>
      <c r="K13" s="11">
        <v>0.077</v>
      </c>
      <c r="L13" s="3"/>
      <c r="M13" s="3"/>
      <c r="N13" s="3"/>
      <c r="O13" s="3"/>
    </row>
    <row r="16" spans="1:15" ht="60" customHeight="1">
      <c r="A16" s="4" t="s">
        <v>222</v>
      </c>
      <c r="B16" s="4"/>
      <c r="C16" s="4"/>
      <c r="D16" s="4"/>
      <c r="E16" s="4"/>
      <c r="F16" s="4"/>
      <c r="G16" s="4"/>
      <c r="H16" s="4"/>
      <c r="I16" s="4"/>
    </row>
    <row r="17" spans="1:9" ht="30" customHeight="1">
      <c r="A17" s="5" t="s">
        <v>218</v>
      </c>
      <c r="B17" s="5"/>
      <c r="C17" s="5"/>
      <c r="D17" s="5"/>
      <c r="E17" s="5"/>
      <c r="F17" s="5"/>
      <c r="G17" s="5"/>
      <c r="H17" s="5"/>
      <c r="I17" s="5"/>
    </row>
  </sheetData>
  <mergeCells count="2">
    <mergeCell ref="A16:I16"/>
    <mergeCell ref="A17:I17"/>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C6EFCE"/>
  </sheetPr>
  <dimension ref="A1:I20"/>
  <sheetViews>
    <sheetView workbookViewId="0">
      <pane ySplit="1" topLeftCell="A2" activePane="bottomLeft" state="frozen"/>
      <selection pane="bottomLeft"/>
    </sheetView>
  </sheetViews>
  <sheetFormatPr defaultRowHeight="15"/>
  <cols>
    <col min="1" max="1" width="22.7109375" customWidth="1"/>
    <col min="2" max="4" width="14.7109375" customWidth="1"/>
    <col min="5" max="5" width="16.7109375" customWidth="1"/>
    <col min="6" max="6" width="18.7109375" customWidth="1"/>
  </cols>
  <sheetData>
    <row r="1" spans="1:7">
      <c r="A1" s="1" t="s">
        <v>43</v>
      </c>
      <c r="B1" s="1" t="s">
        <v>74</v>
      </c>
      <c r="C1" s="1" t="s">
        <v>75</v>
      </c>
      <c r="D1" s="1" t="s">
        <v>76</v>
      </c>
      <c r="E1" s="1" t="s">
        <v>77</v>
      </c>
      <c r="F1" s="1" t="s">
        <v>78</v>
      </c>
      <c r="G1" s="1" t="s">
        <v>79</v>
      </c>
    </row>
    <row r="2" spans="1:7">
      <c r="A2" s="2" t="s">
        <v>54</v>
      </c>
      <c r="B2" s="2">
        <v>34</v>
      </c>
      <c r="C2" s="7">
        <v>0.522</v>
      </c>
      <c r="D2" s="2">
        <v>33</v>
      </c>
      <c r="E2" s="7">
        <v>0.857</v>
      </c>
      <c r="F2" s="10">
        <v>-0.335</v>
      </c>
      <c r="G2" s="2" t="s">
        <v>83</v>
      </c>
    </row>
    <row r="3" spans="1:7">
      <c r="A3" s="3" t="s">
        <v>56</v>
      </c>
      <c r="B3" s="3">
        <v>25</v>
      </c>
      <c r="C3" s="9">
        <v>0.5669999999999999</v>
      </c>
      <c r="D3" s="3">
        <v>24</v>
      </c>
      <c r="E3" s="9">
        <v>0.835</v>
      </c>
      <c r="F3" s="10">
        <v>-0.268</v>
      </c>
      <c r="G3" s="3" t="s">
        <v>83</v>
      </c>
    </row>
    <row r="4" spans="1:7">
      <c r="A4" s="2" t="s">
        <v>57</v>
      </c>
      <c r="B4" s="2">
        <v>11</v>
      </c>
      <c r="C4" s="7">
        <v>0.486</v>
      </c>
      <c r="D4" s="2">
        <v>10</v>
      </c>
      <c r="E4" s="7">
        <v>0.734</v>
      </c>
      <c r="F4" s="10">
        <v>-0.248</v>
      </c>
      <c r="G4" s="2" t="s">
        <v>83</v>
      </c>
    </row>
    <row r="5" spans="1:7">
      <c r="A5" s="3" t="s">
        <v>21</v>
      </c>
      <c r="B5" s="3">
        <v>21</v>
      </c>
      <c r="C5" s="9">
        <v>0.606</v>
      </c>
      <c r="D5" s="3">
        <v>21</v>
      </c>
      <c r="E5" s="9">
        <v>0.843</v>
      </c>
      <c r="F5" s="10">
        <v>-0.237</v>
      </c>
      <c r="G5" s="3" t="s">
        <v>83</v>
      </c>
    </row>
    <row r="6" spans="1:7">
      <c r="A6" s="2" t="s">
        <v>60</v>
      </c>
      <c r="B6" s="2">
        <v>13</v>
      </c>
      <c r="C6" s="7">
        <v>0.63</v>
      </c>
      <c r="D6" s="2">
        <v>11</v>
      </c>
      <c r="E6" s="7">
        <v>0.86</v>
      </c>
      <c r="F6" s="10">
        <v>-0.23</v>
      </c>
      <c r="G6" s="2" t="s">
        <v>83</v>
      </c>
    </row>
    <row r="7" spans="1:7">
      <c r="A7" s="3" t="s">
        <v>58</v>
      </c>
      <c r="B7" s="3">
        <v>23</v>
      </c>
      <c r="C7" s="9">
        <v>0.597</v>
      </c>
      <c r="D7" s="3">
        <v>27</v>
      </c>
      <c r="E7" s="9">
        <v>0.8</v>
      </c>
      <c r="F7" s="10">
        <v>-0.203</v>
      </c>
      <c r="G7" s="3" t="s">
        <v>83</v>
      </c>
    </row>
    <row r="8" spans="1:7">
      <c r="A8" s="2" t="s">
        <v>55</v>
      </c>
      <c r="B8" s="2">
        <v>23</v>
      </c>
      <c r="C8" s="7">
        <v>0.61</v>
      </c>
      <c r="D8" s="2">
        <v>25</v>
      </c>
      <c r="E8" s="7">
        <v>0.8090000000000001</v>
      </c>
      <c r="F8" s="10">
        <v>-0.199</v>
      </c>
      <c r="G8" s="2" t="s">
        <v>83</v>
      </c>
    </row>
    <row r="9" spans="1:7">
      <c r="A9" s="3" t="s">
        <v>59</v>
      </c>
      <c r="B9" s="3">
        <v>12</v>
      </c>
      <c r="C9" s="9">
        <v>0.5</v>
      </c>
      <c r="D9" s="3">
        <v>12</v>
      </c>
      <c r="E9" s="9">
        <v>0.657</v>
      </c>
      <c r="F9" s="10">
        <v>-0.157</v>
      </c>
      <c r="G9" s="3" t="s">
        <v>83</v>
      </c>
    </row>
    <row r="10" spans="1:7">
      <c r="A10" s="2" t="s">
        <v>64</v>
      </c>
      <c r="B10" s="2">
        <v>26</v>
      </c>
      <c r="C10" s="7">
        <v>0.459</v>
      </c>
      <c r="D10" s="2">
        <v>26</v>
      </c>
      <c r="E10" s="7">
        <v>0.584</v>
      </c>
      <c r="F10" s="10">
        <v>-0.125</v>
      </c>
      <c r="G10" s="2" t="s">
        <v>83</v>
      </c>
    </row>
    <row r="11" spans="1:7">
      <c r="A11" s="3" t="s">
        <v>61</v>
      </c>
      <c r="B11" s="3">
        <v>25</v>
      </c>
      <c r="C11" s="9">
        <v>0.666</v>
      </c>
      <c r="D11" s="3">
        <v>25</v>
      </c>
      <c r="E11" s="9">
        <v>0.754</v>
      </c>
      <c r="F11" s="10">
        <v>-0.08799999999999999</v>
      </c>
      <c r="G11" s="3" t="s">
        <v>83</v>
      </c>
    </row>
    <row r="12" spans="1:7">
      <c r="A12" s="2" t="s">
        <v>63</v>
      </c>
      <c r="B12" s="2">
        <v>24</v>
      </c>
      <c r="C12" s="7">
        <v>0.519</v>
      </c>
      <c r="D12" s="2">
        <v>23</v>
      </c>
      <c r="E12" s="7">
        <v>0.59</v>
      </c>
      <c r="F12" s="10">
        <v>-0.07099999999999999</v>
      </c>
      <c r="G12" s="2" t="s">
        <v>83</v>
      </c>
    </row>
    <row r="13" spans="1:7">
      <c r="A13" s="3" t="s">
        <v>62</v>
      </c>
      <c r="B13" s="3">
        <v>36</v>
      </c>
      <c r="C13" s="9">
        <v>0.644</v>
      </c>
      <c r="D13" s="3">
        <v>36</v>
      </c>
      <c r="E13" s="9">
        <v>0.6840000000000001</v>
      </c>
      <c r="F13" s="10">
        <v>-0.04</v>
      </c>
      <c r="G13" s="3" t="s">
        <v>84</v>
      </c>
    </row>
    <row r="14" spans="1:7">
      <c r="A14" s="2" t="s">
        <v>80</v>
      </c>
      <c r="B14" s="2">
        <v>1</v>
      </c>
      <c r="C14" s="7">
        <v>0.878</v>
      </c>
      <c r="D14" s="2"/>
      <c r="E14" s="7"/>
      <c r="F14" s="7"/>
      <c r="G14" s="2" t="s">
        <v>85</v>
      </c>
    </row>
    <row r="15" spans="1:7">
      <c r="A15" s="3" t="s">
        <v>81</v>
      </c>
      <c r="B15" s="3">
        <v>1</v>
      </c>
      <c r="C15" s="9">
        <v>0.78</v>
      </c>
      <c r="D15" s="3"/>
      <c r="E15" s="9"/>
      <c r="F15" s="9"/>
      <c r="G15" s="3" t="s">
        <v>85</v>
      </c>
    </row>
    <row r="16" spans="1:7">
      <c r="A16" s="2" t="s">
        <v>82</v>
      </c>
      <c r="B16" s="2">
        <v>1</v>
      </c>
      <c r="C16" s="7">
        <v>0.6830000000000001</v>
      </c>
      <c r="D16" s="2"/>
      <c r="E16" s="7"/>
      <c r="F16" s="7"/>
      <c r="G16" s="2" t="s">
        <v>85</v>
      </c>
    </row>
    <row r="19" spans="1:9" ht="60" customHeight="1">
      <c r="A19" s="4" t="s">
        <v>223</v>
      </c>
      <c r="B19" s="4"/>
      <c r="C19" s="4"/>
      <c r="D19" s="4"/>
      <c r="E19" s="4"/>
      <c r="F19" s="4"/>
      <c r="G19" s="4"/>
      <c r="H19" s="4"/>
      <c r="I19" s="4"/>
    </row>
    <row r="20" spans="1:9" ht="30" customHeight="1">
      <c r="A20" s="5" t="s">
        <v>218</v>
      </c>
      <c r="B20" s="5"/>
      <c r="C20" s="5"/>
      <c r="D20" s="5"/>
      <c r="E20" s="5"/>
      <c r="F20" s="5"/>
      <c r="G20" s="5"/>
      <c r="H20" s="5"/>
      <c r="I20" s="5"/>
    </row>
  </sheetData>
  <mergeCells count="2">
    <mergeCell ref="A19:I19"/>
    <mergeCell ref="A20:I20"/>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C6EFCE"/>
  </sheetPr>
  <dimension ref="A1:AK2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2.7109375" customWidth="1"/>
    <col min="2" max="37" width="13.7109375" customWidth="1"/>
  </cols>
  <sheetData>
    <row r="1" spans="1:37">
      <c r="A1" s="1" t="s">
        <v>86</v>
      </c>
      <c r="B1" s="1" t="s">
        <v>87</v>
      </c>
      <c r="C1" s="1" t="s">
        <v>88</v>
      </c>
      <c r="D1" s="1" t="s">
        <v>89</v>
      </c>
      <c r="E1" s="1" t="s">
        <v>90</v>
      </c>
      <c r="F1" s="1" t="s">
        <v>91</v>
      </c>
      <c r="G1" s="1" t="s">
        <v>92</v>
      </c>
      <c r="H1" s="1" t="s">
        <v>93</v>
      </c>
      <c r="I1" s="1" t="s">
        <v>94</v>
      </c>
      <c r="J1" s="1" t="s">
        <v>95</v>
      </c>
      <c r="K1" s="1" t="s">
        <v>96</v>
      </c>
      <c r="L1" s="1" t="s">
        <v>97</v>
      </c>
      <c r="M1" s="1" t="s">
        <v>98</v>
      </c>
      <c r="N1" s="1" t="s">
        <v>99</v>
      </c>
      <c r="O1" s="1" t="s">
        <v>100</v>
      </c>
      <c r="P1" s="1" t="s">
        <v>101</v>
      </c>
      <c r="Q1" s="1" t="s">
        <v>102</v>
      </c>
      <c r="R1" s="1" t="s">
        <v>103</v>
      </c>
      <c r="S1" s="1" t="s">
        <v>104</v>
      </c>
      <c r="T1" s="1" t="s">
        <v>105</v>
      </c>
      <c r="U1" s="1" t="s">
        <v>106</v>
      </c>
      <c r="V1" s="1" t="s">
        <v>107</v>
      </c>
      <c r="W1" s="1" t="s">
        <v>108</v>
      </c>
      <c r="X1" s="1" t="s">
        <v>109</v>
      </c>
      <c r="Y1" s="1" t="s">
        <v>110</v>
      </c>
      <c r="Z1" s="1" t="s">
        <v>111</v>
      </c>
      <c r="AA1" s="1" t="s">
        <v>112</v>
      </c>
      <c r="AB1" s="1" t="s">
        <v>113</v>
      </c>
      <c r="AC1" s="1" t="s">
        <v>114</v>
      </c>
      <c r="AD1" s="1" t="s">
        <v>115</v>
      </c>
      <c r="AE1" s="1" t="s">
        <v>116</v>
      </c>
      <c r="AF1" s="1" t="s">
        <v>117</v>
      </c>
      <c r="AG1" s="1" t="s">
        <v>118</v>
      </c>
      <c r="AH1" s="1" t="s">
        <v>119</v>
      </c>
      <c r="AI1" s="1" t="s">
        <v>120</v>
      </c>
      <c r="AJ1" s="1" t="s">
        <v>121</v>
      </c>
      <c r="AK1" s="1" t="s">
        <v>122</v>
      </c>
    </row>
    <row r="2" spans="1:37">
      <c r="A2" s="2" t="s">
        <v>62</v>
      </c>
      <c r="B2" s="7">
        <v>0.463</v>
      </c>
      <c r="C2" s="7">
        <v>0.463</v>
      </c>
      <c r="D2" s="11">
        <v>0</v>
      </c>
      <c r="E2" s="7">
        <v>0.52</v>
      </c>
      <c r="F2" s="7">
        <v>0.493</v>
      </c>
      <c r="G2" s="11">
        <v>0.027</v>
      </c>
      <c r="H2" s="7">
        <v>0.598</v>
      </c>
      <c r="I2" s="7">
        <v>0.527</v>
      </c>
      <c r="J2" s="11">
        <v>0.07099999999999999</v>
      </c>
      <c r="K2" s="7">
        <v>0.528</v>
      </c>
      <c r="L2" s="7">
        <v>0.536</v>
      </c>
      <c r="M2" s="10">
        <v>-0.008</v>
      </c>
      <c r="N2" s="7">
        <v>0.659</v>
      </c>
      <c r="O2" s="7">
        <v>0.5610000000000001</v>
      </c>
      <c r="P2" s="11">
        <v>0.097</v>
      </c>
      <c r="Q2" s="7">
        <v>0.716</v>
      </c>
      <c r="R2" s="7">
        <v>0.584</v>
      </c>
      <c r="S2" s="11">
        <v>0.132</v>
      </c>
      <c r="T2" s="7">
        <v>0.764</v>
      </c>
      <c r="U2" s="7">
        <v>0.611</v>
      </c>
      <c r="V2" s="11">
        <v>0.153</v>
      </c>
      <c r="W2" s="7">
        <v>0.595</v>
      </c>
      <c r="X2" s="7">
        <v>0.609</v>
      </c>
      <c r="Y2" s="10">
        <v>-0.014</v>
      </c>
      <c r="Z2" s="7">
        <v>0.701</v>
      </c>
      <c r="AA2" s="7">
        <v>0.618</v>
      </c>
      <c r="AB2" s="11">
        <v>0.082</v>
      </c>
      <c r="AC2" s="7">
        <v>0.724</v>
      </c>
      <c r="AD2" s="7">
        <v>0.629</v>
      </c>
      <c r="AE2" s="11">
        <v>0.095</v>
      </c>
      <c r="AF2" s="7">
        <v>0.61</v>
      </c>
      <c r="AG2" s="7">
        <v>0.628</v>
      </c>
      <c r="AH2" s="10">
        <v>-0.018</v>
      </c>
      <c r="AI2" s="7">
        <v>0.588</v>
      </c>
      <c r="AJ2" s="7">
        <v>0.625</v>
      </c>
      <c r="AK2" s="10">
        <v>-0.037</v>
      </c>
    </row>
    <row r="3" spans="1:37">
      <c r="A3" s="3" t="s">
        <v>80</v>
      </c>
      <c r="B3" s="9"/>
      <c r="C3" s="9"/>
      <c r="D3" s="3"/>
      <c r="E3" s="9">
        <v>0.659</v>
      </c>
      <c r="F3" s="9">
        <v>0.659</v>
      </c>
      <c r="G3" s="11">
        <v>0</v>
      </c>
      <c r="H3" s="9"/>
      <c r="I3" s="9"/>
      <c r="J3" s="3"/>
      <c r="K3" s="9"/>
      <c r="L3" s="9"/>
      <c r="M3" s="3"/>
      <c r="N3" s="9"/>
      <c r="O3" s="9"/>
      <c r="P3" s="3"/>
      <c r="Q3" s="9"/>
      <c r="R3" s="9"/>
      <c r="S3" s="3"/>
      <c r="T3" s="9"/>
      <c r="U3" s="9"/>
      <c r="V3" s="3"/>
      <c r="W3" s="9"/>
      <c r="X3" s="9"/>
      <c r="Y3" s="3"/>
      <c r="Z3" s="9"/>
      <c r="AA3" s="9"/>
      <c r="AB3" s="3"/>
      <c r="AC3" s="9"/>
      <c r="AD3" s="9"/>
      <c r="AE3" s="3"/>
      <c r="AF3" s="9">
        <v>0.878</v>
      </c>
      <c r="AG3" s="9">
        <v>0.768</v>
      </c>
      <c r="AH3" s="11">
        <v>0.11</v>
      </c>
      <c r="AI3" s="9"/>
      <c r="AJ3" s="9"/>
      <c r="AK3" s="3"/>
    </row>
    <row r="4" spans="1:37">
      <c r="A4" s="2" t="s">
        <v>81</v>
      </c>
      <c r="B4" s="7"/>
      <c r="C4" s="7"/>
      <c r="D4" s="2"/>
      <c r="E4" s="7">
        <v>0.951</v>
      </c>
      <c r="F4" s="7">
        <v>0.951</v>
      </c>
      <c r="G4" s="11">
        <v>0</v>
      </c>
      <c r="H4" s="7"/>
      <c r="I4" s="7"/>
      <c r="J4" s="2"/>
      <c r="K4" s="7">
        <v>0.439</v>
      </c>
      <c r="L4" s="7">
        <v>0.695</v>
      </c>
      <c r="M4" s="10">
        <v>-0.256</v>
      </c>
      <c r="N4" s="7"/>
      <c r="O4" s="7"/>
      <c r="P4" s="2"/>
      <c r="Q4" s="7"/>
      <c r="R4" s="7"/>
      <c r="S4" s="2"/>
      <c r="T4" s="7"/>
      <c r="U4" s="7"/>
      <c r="V4" s="2"/>
      <c r="W4" s="7"/>
      <c r="X4" s="7"/>
      <c r="Y4" s="2"/>
      <c r="Z4" s="7"/>
      <c r="AA4" s="7"/>
      <c r="AB4" s="2"/>
      <c r="AC4" s="7"/>
      <c r="AD4" s="7"/>
      <c r="AE4" s="2"/>
      <c r="AF4" s="7">
        <v>0.78</v>
      </c>
      <c r="AG4" s="7">
        <v>0.724</v>
      </c>
      <c r="AH4" s="11">
        <v>0.057</v>
      </c>
      <c r="AI4" s="7"/>
      <c r="AJ4" s="7"/>
      <c r="AK4" s="2"/>
    </row>
    <row r="5" spans="1:37">
      <c r="A5" s="3" t="s">
        <v>123</v>
      </c>
      <c r="B5" s="9">
        <v>0.421</v>
      </c>
      <c r="C5" s="9">
        <v>0.421</v>
      </c>
      <c r="D5" s="11">
        <v>0</v>
      </c>
      <c r="E5" s="9">
        <v>0.535</v>
      </c>
      <c r="F5" s="9">
        <v>0.48</v>
      </c>
      <c r="G5" s="11">
        <v>0.055</v>
      </c>
      <c r="H5" s="9">
        <v>0.433</v>
      </c>
      <c r="I5" s="9">
        <v>0.465</v>
      </c>
      <c r="J5" s="10">
        <v>-0.032</v>
      </c>
      <c r="K5" s="9">
        <v>0.576</v>
      </c>
      <c r="L5" s="9">
        <v>0.494</v>
      </c>
      <c r="M5" s="11">
        <v>0.082</v>
      </c>
      <c r="N5" s="9">
        <v>0.7</v>
      </c>
      <c r="O5" s="9">
        <v>0.536</v>
      </c>
      <c r="P5" s="11">
        <v>0.164</v>
      </c>
      <c r="Q5" s="9">
        <v>0.654</v>
      </c>
      <c r="R5" s="9">
        <v>0.555</v>
      </c>
      <c r="S5" s="11">
        <v>0.099</v>
      </c>
      <c r="T5" s="9">
        <v>0.765</v>
      </c>
      <c r="U5" s="9">
        <v>0.575</v>
      </c>
      <c r="V5" s="11">
        <v>0.19</v>
      </c>
      <c r="W5" s="9">
        <v>0.762</v>
      </c>
      <c r="X5" s="9">
        <v>0.594</v>
      </c>
      <c r="Y5" s="11">
        <v>0.168</v>
      </c>
      <c r="Z5" s="9"/>
      <c r="AA5" s="9"/>
      <c r="AB5" s="3"/>
      <c r="AC5" s="9"/>
      <c r="AD5" s="9"/>
      <c r="AE5" s="3"/>
      <c r="AF5" s="9"/>
      <c r="AG5" s="9"/>
      <c r="AH5" s="3"/>
      <c r="AI5" s="9"/>
      <c r="AJ5" s="9"/>
      <c r="AK5" s="3"/>
    </row>
    <row r="6" spans="1:37">
      <c r="A6" s="2" t="s">
        <v>82</v>
      </c>
      <c r="B6" s="7"/>
      <c r="C6" s="7"/>
      <c r="D6" s="2"/>
      <c r="E6" s="7"/>
      <c r="F6" s="7"/>
      <c r="G6" s="2"/>
      <c r="H6" s="7"/>
      <c r="I6" s="7"/>
      <c r="J6" s="2"/>
      <c r="K6" s="7">
        <v>0.634</v>
      </c>
      <c r="L6" s="7">
        <v>0.634</v>
      </c>
      <c r="M6" s="11">
        <v>0</v>
      </c>
      <c r="N6" s="7"/>
      <c r="O6" s="7"/>
      <c r="P6" s="2"/>
      <c r="Q6" s="7"/>
      <c r="R6" s="7"/>
      <c r="S6" s="2"/>
      <c r="T6" s="7"/>
      <c r="U6" s="7"/>
      <c r="V6" s="2"/>
      <c r="W6" s="7"/>
      <c r="X6" s="7"/>
      <c r="Y6" s="2"/>
      <c r="Z6" s="7"/>
      <c r="AA6" s="7"/>
      <c r="AB6" s="2"/>
      <c r="AC6" s="7"/>
      <c r="AD6" s="7"/>
      <c r="AE6" s="2"/>
      <c r="AF6" s="7">
        <v>0.6830000000000001</v>
      </c>
      <c r="AG6" s="7">
        <v>0.659</v>
      </c>
      <c r="AH6" s="11">
        <v>0.024</v>
      </c>
      <c r="AI6" s="7"/>
      <c r="AJ6" s="7"/>
      <c r="AK6" s="2"/>
    </row>
    <row r="7" spans="1:37">
      <c r="A7" s="3" t="s">
        <v>60</v>
      </c>
      <c r="B7" s="9"/>
      <c r="C7" s="9"/>
      <c r="D7" s="3"/>
      <c r="E7" s="9">
        <v>0.53</v>
      </c>
      <c r="F7" s="9">
        <v>0.53</v>
      </c>
      <c r="G7" s="11">
        <v>0</v>
      </c>
      <c r="H7" s="9">
        <v>0.61</v>
      </c>
      <c r="I7" s="9">
        <v>0.57</v>
      </c>
      <c r="J7" s="11">
        <v>0.04</v>
      </c>
      <c r="K7" s="9">
        <v>0.447</v>
      </c>
      <c r="L7" s="9">
        <v>0.537</v>
      </c>
      <c r="M7" s="10">
        <v>-0.089</v>
      </c>
      <c r="N7" s="9">
        <v>0.873</v>
      </c>
      <c r="O7" s="9">
        <v>0.642</v>
      </c>
      <c r="P7" s="11">
        <v>0.231</v>
      </c>
      <c r="Q7" s="9">
        <v>0.744</v>
      </c>
      <c r="R7" s="9">
        <v>0.662</v>
      </c>
      <c r="S7" s="11">
        <v>0.082</v>
      </c>
      <c r="T7" s="9">
        <v>0.9389999999999999</v>
      </c>
      <c r="U7" s="9">
        <v>0.708</v>
      </c>
      <c r="V7" s="11">
        <v>0.231</v>
      </c>
      <c r="W7" s="9">
        <v>0.919</v>
      </c>
      <c r="X7" s="9">
        <v>0.732</v>
      </c>
      <c r="Y7" s="11">
        <v>0.187</v>
      </c>
      <c r="Z7" s="9">
        <v>0.738</v>
      </c>
      <c r="AA7" s="9">
        <v>0.732</v>
      </c>
      <c r="AB7" s="11">
        <v>0.005</v>
      </c>
      <c r="AC7" s="9">
        <v>0.671</v>
      </c>
      <c r="AD7" s="9">
        <v>0.725</v>
      </c>
      <c r="AE7" s="10">
        <v>-0.055</v>
      </c>
      <c r="AF7" s="9">
        <v>0.624</v>
      </c>
      <c r="AG7" s="9">
        <v>0.713</v>
      </c>
      <c r="AH7" s="10">
        <v>-0.08799999999999999</v>
      </c>
      <c r="AI7" s="9">
        <v>0.598</v>
      </c>
      <c r="AJ7" s="9">
        <v>0.702</v>
      </c>
      <c r="AK7" s="10">
        <v>-0.105</v>
      </c>
    </row>
    <row r="8" spans="1:37">
      <c r="A8" s="2" t="s">
        <v>56</v>
      </c>
      <c r="B8" s="7">
        <v>0.475</v>
      </c>
      <c r="C8" s="7">
        <v>0.475</v>
      </c>
      <c r="D8" s="11">
        <v>0</v>
      </c>
      <c r="E8" s="7">
        <v>0.68</v>
      </c>
      <c r="F8" s="7">
        <v>0.57</v>
      </c>
      <c r="G8" s="11">
        <v>0.11</v>
      </c>
      <c r="H8" s="7">
        <v>0.787</v>
      </c>
      <c r="I8" s="7">
        <v>0.633</v>
      </c>
      <c r="J8" s="11">
        <v>0.154</v>
      </c>
      <c r="K8" s="7">
        <v>0.707</v>
      </c>
      <c r="L8" s="7">
        <v>0.649</v>
      </c>
      <c r="M8" s="11">
        <v>0.058</v>
      </c>
      <c r="N8" s="7">
        <v>0.931</v>
      </c>
      <c r="O8" s="7">
        <v>0.696</v>
      </c>
      <c r="P8" s="11">
        <v>0.235</v>
      </c>
      <c r="Q8" s="7">
        <v>0.878</v>
      </c>
      <c r="R8" s="7">
        <v>0.723</v>
      </c>
      <c r="S8" s="11">
        <v>0.155</v>
      </c>
      <c r="T8" s="7">
        <v>0.892</v>
      </c>
      <c r="U8" s="7">
        <v>0.747</v>
      </c>
      <c r="V8" s="11">
        <v>0.145</v>
      </c>
      <c r="W8" s="7">
        <v>0.857</v>
      </c>
      <c r="X8" s="7">
        <v>0.763</v>
      </c>
      <c r="Y8" s="11">
        <v>0.094</v>
      </c>
      <c r="Z8" s="7">
        <v>0.753</v>
      </c>
      <c r="AA8" s="7">
        <v>0.762</v>
      </c>
      <c r="AB8" s="10">
        <v>-0.008999999999999999</v>
      </c>
      <c r="AC8" s="7">
        <v>0.678</v>
      </c>
      <c r="AD8" s="7">
        <v>0.754</v>
      </c>
      <c r="AE8" s="10">
        <v>-0.076</v>
      </c>
      <c r="AF8" s="7">
        <v>0.585</v>
      </c>
      <c r="AG8" s="7">
        <v>0.737</v>
      </c>
      <c r="AH8" s="10">
        <v>-0.152</v>
      </c>
      <c r="AI8" s="7">
        <v>0.442</v>
      </c>
      <c r="AJ8" s="7">
        <v>0.712</v>
      </c>
      <c r="AK8" s="10">
        <v>-0.271</v>
      </c>
    </row>
    <row r="9" spans="1:37">
      <c r="A9" s="3" t="s">
        <v>54</v>
      </c>
      <c r="B9" s="9">
        <v>0.697</v>
      </c>
      <c r="C9" s="9">
        <v>0.697</v>
      </c>
      <c r="D9" s="11">
        <v>0</v>
      </c>
      <c r="E9" s="9">
        <v>0.6850000000000001</v>
      </c>
      <c r="F9" s="9">
        <v>0.703</v>
      </c>
      <c r="G9" s="10">
        <v>-0.018</v>
      </c>
      <c r="H9" s="9">
        <v>0.844</v>
      </c>
      <c r="I9" s="9">
        <v>0.755</v>
      </c>
      <c r="J9" s="11">
        <v>0.089</v>
      </c>
      <c r="K9" s="9">
        <v>0.652</v>
      </c>
      <c r="L9" s="9">
        <v>0.731</v>
      </c>
      <c r="M9" s="10">
        <v>-0.079</v>
      </c>
      <c r="N9" s="9">
        <v>0.913</v>
      </c>
      <c r="O9" s="9">
        <v>0.767</v>
      </c>
      <c r="P9" s="11">
        <v>0.145</v>
      </c>
      <c r="Q9" s="9">
        <v>0.86</v>
      </c>
      <c r="R9" s="9">
        <v>0.782</v>
      </c>
      <c r="S9" s="11">
        <v>0.078</v>
      </c>
      <c r="T9" s="9">
        <v>0.9419999999999999</v>
      </c>
      <c r="U9" s="9">
        <v>0.8070000000000001</v>
      </c>
      <c r="V9" s="11">
        <v>0.135</v>
      </c>
      <c r="W9" s="9">
        <v>0.907</v>
      </c>
      <c r="X9" s="9">
        <v>0.821</v>
      </c>
      <c r="Y9" s="11">
        <v>0.08599999999999999</v>
      </c>
      <c r="Z9" s="9">
        <v>0.738</v>
      </c>
      <c r="AA9" s="9">
        <v>0.8120000000000001</v>
      </c>
      <c r="AB9" s="10">
        <v>-0.074</v>
      </c>
      <c r="AC9" s="9">
        <v>0.649</v>
      </c>
      <c r="AD9" s="9">
        <v>0.795</v>
      </c>
      <c r="AE9" s="10">
        <v>-0.145</v>
      </c>
      <c r="AF9" s="9">
        <v>0.466</v>
      </c>
      <c r="AG9" s="9">
        <v>0.764</v>
      </c>
      <c r="AH9" s="10">
        <v>-0.299</v>
      </c>
      <c r="AI9" s="9">
        <v>0.417</v>
      </c>
      <c r="AJ9" s="9">
        <v>0.74</v>
      </c>
      <c r="AK9" s="10">
        <v>-0.323</v>
      </c>
    </row>
    <row r="10" spans="1:37">
      <c r="A10" s="2" t="s">
        <v>63</v>
      </c>
      <c r="B10" s="7">
        <v>0.396</v>
      </c>
      <c r="C10" s="7">
        <v>0.396</v>
      </c>
      <c r="D10" s="11">
        <v>0</v>
      </c>
      <c r="E10" s="7">
        <v>0.455</v>
      </c>
      <c r="F10" s="7">
        <v>0.425</v>
      </c>
      <c r="G10" s="11">
        <v>0.03</v>
      </c>
      <c r="H10" s="7">
        <v>0.488</v>
      </c>
      <c r="I10" s="7">
        <v>0.453</v>
      </c>
      <c r="J10" s="11">
        <v>0.035</v>
      </c>
      <c r="K10" s="7">
        <v>0.445</v>
      </c>
      <c r="L10" s="7">
        <v>0.451</v>
      </c>
      <c r="M10" s="10">
        <v>-0.006</v>
      </c>
      <c r="N10" s="7">
        <v>0.552</v>
      </c>
      <c r="O10" s="7">
        <v>0.47</v>
      </c>
      <c r="P10" s="11">
        <v>0.081</v>
      </c>
      <c r="Q10" s="7">
        <v>0.521</v>
      </c>
      <c r="R10" s="7">
        <v>0.479</v>
      </c>
      <c r="S10" s="11">
        <v>0.043</v>
      </c>
      <c r="T10" s="7">
        <v>0.625</v>
      </c>
      <c r="U10" s="7">
        <v>0.504</v>
      </c>
      <c r="V10" s="11">
        <v>0.121</v>
      </c>
      <c r="W10" s="7">
        <v>0.477</v>
      </c>
      <c r="X10" s="7">
        <v>0.503</v>
      </c>
      <c r="Y10" s="10">
        <v>-0.026</v>
      </c>
      <c r="Z10" s="7">
        <v>0.652</v>
      </c>
      <c r="AA10" s="7">
        <v>0.519</v>
      </c>
      <c r="AB10" s="11">
        <v>0.134</v>
      </c>
      <c r="AC10" s="7">
        <v>0.5610000000000001</v>
      </c>
      <c r="AD10" s="7">
        <v>0.523</v>
      </c>
      <c r="AE10" s="11">
        <v>0.038</v>
      </c>
      <c r="AF10" s="7">
        <v>0.47</v>
      </c>
      <c r="AG10" s="7">
        <v>0.517</v>
      </c>
      <c r="AH10" s="10">
        <v>-0.048</v>
      </c>
      <c r="AI10" s="7">
        <v>0.527</v>
      </c>
      <c r="AJ10" s="7">
        <v>0.518</v>
      </c>
      <c r="AK10" s="11">
        <v>0.008999999999999999</v>
      </c>
    </row>
    <row r="11" spans="1:37">
      <c r="A11" s="3" t="s">
        <v>64</v>
      </c>
      <c r="B11" s="9">
        <v>0.304</v>
      </c>
      <c r="C11" s="9">
        <v>0.304</v>
      </c>
      <c r="D11" s="11">
        <v>0</v>
      </c>
      <c r="E11" s="9">
        <v>0.496</v>
      </c>
      <c r="F11" s="9">
        <v>0.4</v>
      </c>
      <c r="G11" s="11">
        <v>0.096</v>
      </c>
      <c r="H11" s="9">
        <v>0.552</v>
      </c>
      <c r="I11" s="9">
        <v>0.447</v>
      </c>
      <c r="J11" s="11">
        <v>0.105</v>
      </c>
      <c r="K11" s="9">
        <v>0.436</v>
      </c>
      <c r="L11" s="9">
        <v>0.444</v>
      </c>
      <c r="M11" s="10">
        <v>-0.008</v>
      </c>
      <c r="N11" s="9">
        <v>0.515</v>
      </c>
      <c r="O11" s="9">
        <v>0.458</v>
      </c>
      <c r="P11" s="11">
        <v>0.058</v>
      </c>
      <c r="Q11" s="9">
        <v>0.518</v>
      </c>
      <c r="R11" s="9">
        <v>0.467</v>
      </c>
      <c r="S11" s="11">
        <v>0.051</v>
      </c>
      <c r="T11" s="9">
        <v>0.669</v>
      </c>
      <c r="U11" s="9">
        <v>0.498</v>
      </c>
      <c r="V11" s="11">
        <v>0.171</v>
      </c>
      <c r="W11" s="9">
        <v>0.569</v>
      </c>
      <c r="X11" s="9">
        <v>0.508</v>
      </c>
      <c r="Y11" s="11">
        <v>0.062</v>
      </c>
      <c r="Z11" s="9">
        <v>0.506</v>
      </c>
      <c r="AA11" s="9">
        <v>0.507</v>
      </c>
      <c r="AB11" s="10">
        <v>-0.001</v>
      </c>
      <c r="AC11" s="9">
        <v>0.417</v>
      </c>
      <c r="AD11" s="9">
        <v>0.498</v>
      </c>
      <c r="AE11" s="10">
        <v>-0.081</v>
      </c>
      <c r="AF11" s="9">
        <v>0.444</v>
      </c>
      <c r="AG11" s="9">
        <v>0.493</v>
      </c>
      <c r="AH11" s="10">
        <v>-0.048</v>
      </c>
      <c r="AI11" s="9">
        <v>0.521</v>
      </c>
      <c r="AJ11" s="9">
        <v>0.495</v>
      </c>
      <c r="AK11" s="11">
        <v>0.026</v>
      </c>
    </row>
    <row r="12" spans="1:37">
      <c r="A12" s="2" t="s">
        <v>124</v>
      </c>
      <c r="B12" s="7"/>
      <c r="C12" s="7"/>
      <c r="D12" s="2"/>
      <c r="E12" s="7"/>
      <c r="F12" s="7"/>
      <c r="G12" s="2"/>
      <c r="H12" s="7"/>
      <c r="I12" s="7"/>
      <c r="J12" s="2"/>
      <c r="K12" s="7"/>
      <c r="L12" s="7"/>
      <c r="M12" s="2"/>
      <c r="N12" s="7">
        <v>0.805</v>
      </c>
      <c r="O12" s="7">
        <v>0.805</v>
      </c>
      <c r="P12" s="11">
        <v>0</v>
      </c>
      <c r="Q12" s="7"/>
      <c r="R12" s="7"/>
      <c r="S12" s="2"/>
      <c r="T12" s="7"/>
      <c r="U12" s="7"/>
      <c r="V12" s="2"/>
      <c r="W12" s="7"/>
      <c r="X12" s="7"/>
      <c r="Y12" s="2"/>
      <c r="Z12" s="7"/>
      <c r="AA12" s="7"/>
      <c r="AB12" s="2"/>
      <c r="AC12" s="7"/>
      <c r="AD12" s="7"/>
      <c r="AE12" s="2"/>
      <c r="AF12" s="7"/>
      <c r="AG12" s="7"/>
      <c r="AH12" s="2"/>
      <c r="AI12" s="7"/>
      <c r="AJ12" s="7"/>
      <c r="AK12" s="2"/>
    </row>
    <row r="13" spans="1:37">
      <c r="A13" s="3" t="s">
        <v>125</v>
      </c>
      <c r="B13" s="9"/>
      <c r="C13" s="9"/>
      <c r="D13" s="3"/>
      <c r="E13" s="9"/>
      <c r="F13" s="9"/>
      <c r="G13" s="3"/>
      <c r="H13" s="9"/>
      <c r="I13" s="9"/>
      <c r="J13" s="3"/>
      <c r="K13" s="9"/>
      <c r="L13" s="9"/>
      <c r="M13" s="3"/>
      <c r="N13" s="9">
        <v>0.927</v>
      </c>
      <c r="O13" s="9">
        <v>0.927</v>
      </c>
      <c r="P13" s="11">
        <v>0</v>
      </c>
      <c r="Q13" s="9"/>
      <c r="R13" s="9"/>
      <c r="S13" s="3"/>
      <c r="T13" s="9"/>
      <c r="U13" s="9"/>
      <c r="V13" s="3"/>
      <c r="W13" s="9"/>
      <c r="X13" s="9"/>
      <c r="Y13" s="3"/>
      <c r="Z13" s="9"/>
      <c r="AA13" s="9"/>
      <c r="AB13" s="3"/>
      <c r="AC13" s="9"/>
      <c r="AD13" s="9"/>
      <c r="AE13" s="3"/>
      <c r="AF13" s="9"/>
      <c r="AG13" s="9"/>
      <c r="AH13" s="3"/>
      <c r="AI13" s="9"/>
      <c r="AJ13" s="9"/>
      <c r="AK13" s="3"/>
    </row>
    <row r="14" spans="1:37">
      <c r="A14" s="2" t="s">
        <v>55</v>
      </c>
      <c r="B14" s="7">
        <v>0.5659999999999999</v>
      </c>
      <c r="C14" s="7">
        <v>0.5659999999999999</v>
      </c>
      <c r="D14" s="11">
        <v>0</v>
      </c>
      <c r="E14" s="7">
        <v>0.659</v>
      </c>
      <c r="F14" s="7">
        <v>0.612</v>
      </c>
      <c r="G14" s="11">
        <v>0.046</v>
      </c>
      <c r="H14" s="7">
        <v>0.631</v>
      </c>
      <c r="I14" s="7">
        <v>0.618</v>
      </c>
      <c r="J14" s="11">
        <v>0.013</v>
      </c>
      <c r="K14" s="7">
        <v>0.579</v>
      </c>
      <c r="L14" s="7">
        <v>0.609</v>
      </c>
      <c r="M14" s="10">
        <v>-0.03</v>
      </c>
      <c r="N14" s="7">
        <v>0.944</v>
      </c>
      <c r="O14" s="7">
        <v>0.673</v>
      </c>
      <c r="P14" s="11">
        <v>0.271</v>
      </c>
      <c r="Q14" s="7">
        <v>0.857</v>
      </c>
      <c r="R14" s="7">
        <v>0.702</v>
      </c>
      <c r="S14" s="11">
        <v>0.154</v>
      </c>
      <c r="T14" s="7">
        <v>0.911</v>
      </c>
      <c r="U14" s="7">
        <v>0.734</v>
      </c>
      <c r="V14" s="11">
        <v>0.176</v>
      </c>
      <c r="W14" s="7">
        <v>0.862</v>
      </c>
      <c r="X14" s="7">
        <v>0.751</v>
      </c>
      <c r="Y14" s="11">
        <v>0.111</v>
      </c>
      <c r="Z14" s="7">
        <v>0.61</v>
      </c>
      <c r="AA14" s="7">
        <v>0.74</v>
      </c>
      <c r="AB14" s="10">
        <v>-0.131</v>
      </c>
      <c r="AC14" s="7">
        <v>0.77</v>
      </c>
      <c r="AD14" s="7">
        <v>0.746</v>
      </c>
      <c r="AE14" s="11">
        <v>0.024</v>
      </c>
      <c r="AF14" s="7">
        <v>0.648</v>
      </c>
      <c r="AG14" s="7">
        <v>0.737</v>
      </c>
      <c r="AH14" s="10">
        <v>-0.089</v>
      </c>
      <c r="AI14" s="7">
        <v>0.401</v>
      </c>
      <c r="AJ14" s="7">
        <v>0.714</v>
      </c>
      <c r="AK14" s="10">
        <v>-0.313</v>
      </c>
    </row>
    <row r="15" spans="1:37">
      <c r="A15" s="3" t="s">
        <v>21</v>
      </c>
      <c r="B15" s="9">
        <v>0.618</v>
      </c>
      <c r="C15" s="9">
        <v>0.618</v>
      </c>
      <c r="D15" s="11">
        <v>0</v>
      </c>
      <c r="E15" s="9">
        <v>0.835</v>
      </c>
      <c r="F15" s="9">
        <v>0.726</v>
      </c>
      <c r="G15" s="11">
        <v>0.108</v>
      </c>
      <c r="H15" s="9">
        <v>0.742</v>
      </c>
      <c r="I15" s="9">
        <v>0.74</v>
      </c>
      <c r="J15" s="11">
        <v>0.002</v>
      </c>
      <c r="K15" s="9">
        <v>0.711</v>
      </c>
      <c r="L15" s="9">
        <v>0.741</v>
      </c>
      <c r="M15" s="10">
        <v>-0.03</v>
      </c>
      <c r="N15" s="9">
        <v>0.9429999999999999</v>
      </c>
      <c r="O15" s="9">
        <v>0.782</v>
      </c>
      <c r="P15" s="11">
        <v>0.161</v>
      </c>
      <c r="Q15" s="9">
        <v>0.857</v>
      </c>
      <c r="R15" s="9">
        <v>0.791</v>
      </c>
      <c r="S15" s="11">
        <v>0.066</v>
      </c>
      <c r="T15" s="9">
        <v>0.881</v>
      </c>
      <c r="U15" s="9">
        <v>0.8070000000000001</v>
      </c>
      <c r="V15" s="11">
        <v>0.075</v>
      </c>
      <c r="W15" s="9">
        <v>0.829</v>
      </c>
      <c r="X15" s="9">
        <v>0.8139999999999999</v>
      </c>
      <c r="Y15" s="11">
        <v>0.015</v>
      </c>
      <c r="Z15" s="9">
        <v>0.8090000000000001</v>
      </c>
      <c r="AA15" s="9">
        <v>0.8100000000000001</v>
      </c>
      <c r="AB15" s="10">
        <v>-0.001</v>
      </c>
      <c r="AC15" s="9">
        <v>0.645</v>
      </c>
      <c r="AD15" s="9">
        <v>0.798</v>
      </c>
      <c r="AE15" s="10">
        <v>-0.153</v>
      </c>
      <c r="AF15" s="9">
        <v>0.537</v>
      </c>
      <c r="AG15" s="9">
        <v>0.775</v>
      </c>
      <c r="AH15" s="10">
        <v>-0.239</v>
      </c>
      <c r="AI15" s="9">
        <v>0.654</v>
      </c>
      <c r="AJ15" s="9">
        <v>0.768</v>
      </c>
      <c r="AK15" s="10">
        <v>-0.114</v>
      </c>
    </row>
    <row r="16" spans="1:37">
      <c r="A16" s="2" t="s">
        <v>126</v>
      </c>
      <c r="B16" s="7">
        <v>0.984</v>
      </c>
      <c r="C16" s="7">
        <v>0.984</v>
      </c>
      <c r="D16" s="11">
        <v>0</v>
      </c>
      <c r="E16" s="7">
        <v>0.6830000000000001</v>
      </c>
      <c r="F16" s="7">
        <v>0.833</v>
      </c>
      <c r="G16" s="10">
        <v>-0.15</v>
      </c>
      <c r="H16" s="7">
        <v>0.701</v>
      </c>
      <c r="I16" s="7">
        <v>0.78</v>
      </c>
      <c r="J16" s="10">
        <v>-0.079</v>
      </c>
      <c r="K16" s="7">
        <v>0.951</v>
      </c>
      <c r="L16" s="7">
        <v>0.8110000000000001</v>
      </c>
      <c r="M16" s="11">
        <v>0.14</v>
      </c>
      <c r="N16" s="7">
        <v>0.927</v>
      </c>
      <c r="O16" s="7">
        <v>0.84</v>
      </c>
      <c r="P16" s="11">
        <v>0.08699999999999999</v>
      </c>
      <c r="Q16" s="7">
        <v>0.992</v>
      </c>
      <c r="R16" s="7">
        <v>0.864</v>
      </c>
      <c r="S16" s="11">
        <v>0.128</v>
      </c>
      <c r="T16" s="7">
        <v>0.971</v>
      </c>
      <c r="U16" s="7">
        <v>0.886</v>
      </c>
      <c r="V16" s="11">
        <v>0.08500000000000001</v>
      </c>
      <c r="W16" s="7">
        <v>0.976</v>
      </c>
      <c r="X16" s="7">
        <v>0.89</v>
      </c>
      <c r="Y16" s="11">
        <v>0.08599999999999999</v>
      </c>
      <c r="Z16" s="7">
        <v>0.854</v>
      </c>
      <c r="AA16" s="7">
        <v>0.888</v>
      </c>
      <c r="AB16" s="10">
        <v>-0.035</v>
      </c>
      <c r="AC16" s="7"/>
      <c r="AD16" s="7"/>
      <c r="AE16" s="2"/>
      <c r="AF16" s="7"/>
      <c r="AG16" s="7"/>
      <c r="AH16" s="2"/>
      <c r="AI16" s="7"/>
      <c r="AJ16" s="7"/>
      <c r="AK16" s="2"/>
    </row>
    <row r="17" spans="1:37">
      <c r="A17" s="3" t="s">
        <v>59</v>
      </c>
      <c r="B17" s="9">
        <v>0.268</v>
      </c>
      <c r="C17" s="9">
        <v>0.268</v>
      </c>
      <c r="D17" s="11">
        <v>-0</v>
      </c>
      <c r="E17" s="9">
        <v>0.5610000000000001</v>
      </c>
      <c r="F17" s="9">
        <v>0.436</v>
      </c>
      <c r="G17" s="11">
        <v>0.125</v>
      </c>
      <c r="H17" s="9">
        <v>0.512</v>
      </c>
      <c r="I17" s="9">
        <v>0.463</v>
      </c>
      <c r="J17" s="11">
        <v>0.049</v>
      </c>
      <c r="K17" s="9">
        <v>0.439</v>
      </c>
      <c r="L17" s="9">
        <v>0.457</v>
      </c>
      <c r="M17" s="10">
        <v>-0.018</v>
      </c>
      <c r="N17" s="9">
        <v>0.649</v>
      </c>
      <c r="O17" s="9">
        <v>0.505</v>
      </c>
      <c r="P17" s="11">
        <v>0.144</v>
      </c>
      <c r="Q17" s="9">
        <v>0.701</v>
      </c>
      <c r="R17" s="9">
        <v>0.538</v>
      </c>
      <c r="S17" s="11">
        <v>0.164</v>
      </c>
      <c r="T17" s="9">
        <v>0.622</v>
      </c>
      <c r="U17" s="9">
        <v>0.55</v>
      </c>
      <c r="V17" s="11">
        <v>0.07199999999999999</v>
      </c>
      <c r="W17" s="9">
        <v>0.695</v>
      </c>
      <c r="X17" s="9">
        <v>0.5679999999999999</v>
      </c>
      <c r="Y17" s="11">
        <v>0.127</v>
      </c>
      <c r="Z17" s="9">
        <v>0.652</v>
      </c>
      <c r="AA17" s="9">
        <v>0.577</v>
      </c>
      <c r="AB17" s="11">
        <v>0.075</v>
      </c>
      <c r="AC17" s="9">
        <v>0.628</v>
      </c>
      <c r="AD17" s="9">
        <v>0.582</v>
      </c>
      <c r="AE17" s="11">
        <v>0.046</v>
      </c>
      <c r="AF17" s="9">
        <v>0.421</v>
      </c>
      <c r="AG17" s="9">
        <v>0.5679999999999999</v>
      </c>
      <c r="AH17" s="10">
        <v>-0.147</v>
      </c>
      <c r="AI17" s="9">
        <v>0.451</v>
      </c>
      <c r="AJ17" s="9">
        <v>0.5580000000000001</v>
      </c>
      <c r="AK17" s="10">
        <v>-0.107</v>
      </c>
    </row>
    <row r="18" spans="1:37">
      <c r="A18" s="2" t="s">
        <v>61</v>
      </c>
      <c r="B18" s="7">
        <v>0.38</v>
      </c>
      <c r="C18" s="7">
        <v>0.38</v>
      </c>
      <c r="D18" s="11">
        <v>0</v>
      </c>
      <c r="E18" s="7">
        <v>0.5669999999999999</v>
      </c>
      <c r="F18" s="7">
        <v>0.48</v>
      </c>
      <c r="G18" s="11">
        <v>0.08699999999999999</v>
      </c>
      <c r="H18" s="7">
        <v>0.661</v>
      </c>
      <c r="I18" s="7">
        <v>0.552</v>
      </c>
      <c r="J18" s="11">
        <v>0.109</v>
      </c>
      <c r="K18" s="7">
        <v>0.643</v>
      </c>
      <c r="L18" s="7">
        <v>0.574</v>
      </c>
      <c r="M18" s="11">
        <v>0.06900000000000001</v>
      </c>
      <c r="N18" s="7">
        <v>0.889</v>
      </c>
      <c r="O18" s="7">
        <v>0.642</v>
      </c>
      <c r="P18" s="11">
        <v>0.247</v>
      </c>
      <c r="Q18" s="7">
        <v>0.735</v>
      </c>
      <c r="R18" s="7">
        <v>0.657</v>
      </c>
      <c r="S18" s="11">
        <v>0.078</v>
      </c>
      <c r="T18" s="7">
        <v>0.753</v>
      </c>
      <c r="U18" s="7">
        <v>0.674</v>
      </c>
      <c r="V18" s="11">
        <v>0.079</v>
      </c>
      <c r="W18" s="7">
        <v>0.805</v>
      </c>
      <c r="X18" s="7">
        <v>0.6889999999999999</v>
      </c>
      <c r="Y18" s="11">
        <v>0.115</v>
      </c>
      <c r="Z18" s="7">
        <v>0.71</v>
      </c>
      <c r="AA18" s="7">
        <v>0.6919999999999999</v>
      </c>
      <c r="AB18" s="11">
        <v>0.018</v>
      </c>
      <c r="AC18" s="7">
        <v>0.695</v>
      </c>
      <c r="AD18" s="7">
        <v>0.6919999999999999</v>
      </c>
      <c r="AE18" s="11">
        <v>0.003</v>
      </c>
      <c r="AF18" s="7">
        <v>0.668</v>
      </c>
      <c r="AG18" s="7">
        <v>0.6899999999999999</v>
      </c>
      <c r="AH18" s="10">
        <v>-0.022</v>
      </c>
      <c r="AI18" s="7">
        <v>0.64</v>
      </c>
      <c r="AJ18" s="7">
        <v>0.6860000000000001</v>
      </c>
      <c r="AK18" s="10">
        <v>-0.046</v>
      </c>
    </row>
    <row r="19" spans="1:37">
      <c r="A19" s="3" t="s">
        <v>58</v>
      </c>
      <c r="B19" s="9">
        <v>0.551</v>
      </c>
      <c r="C19" s="9">
        <v>0.537</v>
      </c>
      <c r="D19" s="11">
        <v>0.014</v>
      </c>
      <c r="E19" s="9">
        <v>0.738</v>
      </c>
      <c r="F19" s="9">
        <v>0.637</v>
      </c>
      <c r="G19" s="11">
        <v>0.101</v>
      </c>
      <c r="H19" s="9">
        <v>0.65</v>
      </c>
      <c r="I19" s="9">
        <v>0.65</v>
      </c>
      <c r="J19" s="11">
        <v>0</v>
      </c>
      <c r="K19" s="9">
        <v>0.6860000000000001</v>
      </c>
      <c r="L19" s="9">
        <v>0.666</v>
      </c>
      <c r="M19" s="11">
        <v>0.021</v>
      </c>
      <c r="N19" s="9">
        <v>0.948</v>
      </c>
      <c r="O19" s="9">
        <v>0.725</v>
      </c>
      <c r="P19" s="11">
        <v>0.223</v>
      </c>
      <c r="Q19" s="9">
        <v>0.8080000000000001</v>
      </c>
      <c r="R19" s="9">
        <v>0.738</v>
      </c>
      <c r="S19" s="11">
        <v>0.07000000000000001</v>
      </c>
      <c r="T19" s="9">
        <v>0.8179999999999999</v>
      </c>
      <c r="U19" s="9">
        <v>0.75</v>
      </c>
      <c r="V19" s="11">
        <v>0.068</v>
      </c>
      <c r="W19" s="9">
        <v>0.838</v>
      </c>
      <c r="X19" s="9">
        <v>0.761</v>
      </c>
      <c r="Y19" s="11">
        <v>0.078</v>
      </c>
      <c r="Z19" s="9">
        <v>0.754</v>
      </c>
      <c r="AA19" s="9">
        <v>0.76</v>
      </c>
      <c r="AB19" s="10">
        <v>-0.006</v>
      </c>
      <c r="AC19" s="9">
        <v>0.641</v>
      </c>
      <c r="AD19" s="9">
        <v>0.751</v>
      </c>
      <c r="AE19" s="10">
        <v>-0.11</v>
      </c>
      <c r="AF19" s="9">
        <v>0.57</v>
      </c>
      <c r="AG19" s="9">
        <v>0.736</v>
      </c>
      <c r="AH19" s="10">
        <v>-0.165</v>
      </c>
      <c r="AI19" s="9">
        <v>0.585</v>
      </c>
      <c r="AJ19" s="9">
        <v>0.724</v>
      </c>
      <c r="AK19" s="10">
        <v>-0.138</v>
      </c>
    </row>
    <row r="20" spans="1:37">
      <c r="A20" s="2" t="s">
        <v>127</v>
      </c>
      <c r="B20" s="7">
        <v>0.579</v>
      </c>
      <c r="C20" s="7">
        <v>0.579</v>
      </c>
      <c r="D20" s="11">
        <v>0</v>
      </c>
      <c r="E20" s="7">
        <v>0.512</v>
      </c>
      <c r="F20" s="7">
        <v>0.551</v>
      </c>
      <c r="G20" s="10">
        <v>-0.038</v>
      </c>
      <c r="H20" s="7">
        <v>0.451</v>
      </c>
      <c r="I20" s="7">
        <v>0.541</v>
      </c>
      <c r="J20" s="10">
        <v>-0.089</v>
      </c>
      <c r="K20" s="7">
        <v>0.341</v>
      </c>
      <c r="L20" s="7">
        <v>0.501</v>
      </c>
      <c r="M20" s="10">
        <v>-0.159</v>
      </c>
      <c r="N20" s="7">
        <v>0.862</v>
      </c>
      <c r="O20" s="7">
        <v>0.584</v>
      </c>
      <c r="P20" s="11">
        <v>0.278</v>
      </c>
      <c r="Q20" s="7">
        <v>0.821</v>
      </c>
      <c r="R20" s="7">
        <v>0.608</v>
      </c>
      <c r="S20" s="11">
        <v>0.214</v>
      </c>
      <c r="T20" s="7">
        <v>0.761</v>
      </c>
      <c r="U20" s="7">
        <v>0.635</v>
      </c>
      <c r="V20" s="11">
        <v>0.126</v>
      </c>
      <c r="W20" s="7">
        <v>0.695</v>
      </c>
      <c r="X20" s="7">
        <v>0.651</v>
      </c>
      <c r="Y20" s="11">
        <v>0.044</v>
      </c>
      <c r="Z20" s="7"/>
      <c r="AA20" s="7"/>
      <c r="AB20" s="2"/>
      <c r="AC20" s="7"/>
      <c r="AD20" s="7"/>
      <c r="AE20" s="2"/>
      <c r="AF20" s="7"/>
      <c r="AG20" s="7"/>
      <c r="AH20" s="2"/>
      <c r="AI20" s="7"/>
      <c r="AJ20" s="7"/>
      <c r="AK20" s="2"/>
    </row>
    <row r="21" spans="1:37">
      <c r="A21" s="3" t="s">
        <v>57</v>
      </c>
      <c r="B21" s="9">
        <v>0.5</v>
      </c>
      <c r="C21" s="9">
        <v>0.5</v>
      </c>
      <c r="D21" s="11">
        <v>0</v>
      </c>
      <c r="E21" s="9">
        <v>0.585</v>
      </c>
      <c r="F21" s="9">
        <v>0.596</v>
      </c>
      <c r="G21" s="10">
        <v>-0.01</v>
      </c>
      <c r="H21" s="9">
        <v>0.5610000000000001</v>
      </c>
      <c r="I21" s="9">
        <v>0.581</v>
      </c>
      <c r="J21" s="10">
        <v>-0.02</v>
      </c>
      <c r="K21" s="9">
        <v>0.48</v>
      </c>
      <c r="L21" s="9">
        <v>0.5610000000000001</v>
      </c>
      <c r="M21" s="10">
        <v>-0.081</v>
      </c>
      <c r="N21" s="9">
        <v>0.872</v>
      </c>
      <c r="O21" s="9">
        <v>0.626</v>
      </c>
      <c r="P21" s="11">
        <v>0.246</v>
      </c>
      <c r="Q21" s="9">
        <v>0.602</v>
      </c>
      <c r="R21" s="9">
        <v>0.635</v>
      </c>
      <c r="S21" s="10">
        <v>-0.034</v>
      </c>
      <c r="T21" s="9">
        <v>0.8169999999999999</v>
      </c>
      <c r="U21" s="9">
        <v>0.672</v>
      </c>
      <c r="V21" s="11">
        <v>0.145</v>
      </c>
      <c r="W21" s="9">
        <v>0.78</v>
      </c>
      <c r="X21" s="9">
        <v>0.6820000000000001</v>
      </c>
      <c r="Y21" s="11">
        <v>0.098</v>
      </c>
      <c r="Z21" s="9">
        <v>0.577</v>
      </c>
      <c r="AA21" s="9">
        <v>0.673</v>
      </c>
      <c r="AB21" s="10">
        <v>-0.096</v>
      </c>
      <c r="AC21" s="9">
        <v>0.555</v>
      </c>
      <c r="AD21" s="9">
        <v>0.66</v>
      </c>
      <c r="AE21" s="10">
        <v>-0.106</v>
      </c>
      <c r="AF21" s="9">
        <v>0.48</v>
      </c>
      <c r="AG21" s="9">
        <v>0.646</v>
      </c>
      <c r="AH21" s="10">
        <v>-0.167</v>
      </c>
      <c r="AI21" s="9">
        <v>0.421</v>
      </c>
      <c r="AJ21" s="9">
        <v>0.627</v>
      </c>
      <c r="AK21" s="10">
        <v>-0.206</v>
      </c>
    </row>
    <row r="24" spans="1:37" ht="60" customHeight="1">
      <c r="A24" s="4" t="s">
        <v>224</v>
      </c>
      <c r="B24" s="4"/>
      <c r="C24" s="4"/>
      <c r="D24" s="4"/>
      <c r="E24" s="4"/>
      <c r="F24" s="4"/>
      <c r="G24" s="4"/>
      <c r="H24" s="4"/>
      <c r="I24" s="4"/>
    </row>
    <row r="25" spans="1:37" ht="30" customHeight="1">
      <c r="A25" s="5" t="s">
        <v>218</v>
      </c>
      <c r="B25" s="5"/>
      <c r="C25" s="5"/>
      <c r="D25" s="5"/>
      <c r="E25" s="5"/>
      <c r="F25" s="5"/>
      <c r="G25" s="5"/>
      <c r="H25" s="5"/>
      <c r="I25" s="5"/>
    </row>
  </sheetData>
  <mergeCells count="2">
    <mergeCell ref="A24:I24"/>
    <mergeCell ref="A25:I25"/>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D9B3FF"/>
  </sheetPr>
  <dimension ref="A1:I17"/>
  <sheetViews>
    <sheetView workbookViewId="0">
      <pane ySplit="1" topLeftCell="A2" activePane="bottomLeft" state="frozen"/>
      <selection pane="bottomLeft"/>
    </sheetView>
  </sheetViews>
  <sheetFormatPr defaultRowHeight="15"/>
  <cols>
    <col min="1" max="1" width="20.7109375" customWidth="1"/>
    <col min="2" max="2" width="10.7109375" customWidth="1"/>
    <col min="3" max="3" width="12.7109375" customWidth="1"/>
    <col min="4" max="4" width="14.7109375" customWidth="1"/>
    <col min="5" max="5" width="16.7109375" customWidth="1"/>
    <col min="6" max="6" width="14.7109375" customWidth="1"/>
    <col min="7" max="8" width="16.7109375" customWidth="1"/>
  </cols>
  <sheetData>
    <row r="1" spans="1:9">
      <c r="A1" s="1" t="s">
        <v>128</v>
      </c>
      <c r="B1" s="1" t="s">
        <v>25</v>
      </c>
      <c r="C1" s="1" t="s">
        <v>26</v>
      </c>
      <c r="D1" s="1" t="s">
        <v>27</v>
      </c>
      <c r="E1" s="1" t="s">
        <v>45</v>
      </c>
      <c r="F1" s="1" t="s">
        <v>129</v>
      </c>
      <c r="G1" s="1" t="s">
        <v>130</v>
      </c>
      <c r="H1" s="1" t="s">
        <v>131</v>
      </c>
      <c r="I1" s="1" t="s">
        <v>132</v>
      </c>
    </row>
    <row r="2" spans="1:9">
      <c r="A2" s="2" t="s">
        <v>133</v>
      </c>
      <c r="B2" s="6">
        <v>1</v>
      </c>
      <c r="C2" s="6">
        <v>24</v>
      </c>
      <c r="D2" s="7">
        <v>0.585</v>
      </c>
      <c r="E2" s="7" t="e">
        <f>#NUM!</f>
        <v>#NUM!</v>
      </c>
      <c r="F2" s="7">
        <v>0.495</v>
      </c>
      <c r="G2" s="11">
        <v>0.09</v>
      </c>
      <c r="H2" s="11">
        <v>0.127</v>
      </c>
      <c r="I2" s="11">
        <v>0.141</v>
      </c>
    </row>
    <row r="3" spans="1:9">
      <c r="A3" s="3" t="s">
        <v>134</v>
      </c>
      <c r="B3" s="8">
        <v>13</v>
      </c>
      <c r="C3" s="8">
        <v>363</v>
      </c>
      <c r="D3" s="9">
        <v>0.681</v>
      </c>
      <c r="E3" s="9">
        <v>0.17</v>
      </c>
      <c r="F3" s="9">
        <v>0.654</v>
      </c>
      <c r="G3" s="11">
        <v>0.027</v>
      </c>
      <c r="H3" s="11">
        <v>0.075</v>
      </c>
      <c r="I3" s="11">
        <v>0.121</v>
      </c>
    </row>
    <row r="4" spans="1:9">
      <c r="A4" s="2" t="s">
        <v>135</v>
      </c>
      <c r="B4" s="6">
        <v>6</v>
      </c>
      <c r="C4" s="6">
        <v>142</v>
      </c>
      <c r="D4" s="7">
        <v>0.577</v>
      </c>
      <c r="E4" s="7">
        <v>0.192</v>
      </c>
      <c r="F4" s="7">
        <v>0.623</v>
      </c>
      <c r="G4" s="10">
        <v>-0.045</v>
      </c>
      <c r="H4" s="11">
        <v>0.051</v>
      </c>
      <c r="I4" s="11">
        <v>0.092</v>
      </c>
    </row>
    <row r="5" spans="1:9">
      <c r="A5" s="3" t="s">
        <v>136</v>
      </c>
      <c r="B5" s="8">
        <v>6</v>
      </c>
      <c r="C5" s="8">
        <v>126</v>
      </c>
      <c r="D5" s="9">
        <v>0.512</v>
      </c>
      <c r="E5" s="9">
        <v>0.139</v>
      </c>
      <c r="F5" s="9">
        <v>0.587</v>
      </c>
      <c r="G5" s="10">
        <v>-0.074</v>
      </c>
      <c r="H5" s="10">
        <v>-0.037</v>
      </c>
      <c r="I5" s="11">
        <v>0.013</v>
      </c>
    </row>
    <row r="6" spans="1:9">
      <c r="A6" s="2" t="s">
        <v>137</v>
      </c>
      <c r="B6" s="6">
        <v>10</v>
      </c>
      <c r="C6" s="6">
        <v>239</v>
      </c>
      <c r="D6" s="7">
        <v>0.583</v>
      </c>
      <c r="E6" s="7">
        <v>0.176</v>
      </c>
      <c r="F6" s="7">
        <v>0.6830000000000001</v>
      </c>
      <c r="G6" s="10">
        <v>-0.1</v>
      </c>
      <c r="H6" s="10">
        <v>-0.064</v>
      </c>
      <c r="I6" s="10">
        <v>-0.038</v>
      </c>
    </row>
    <row r="7" spans="1:9">
      <c r="A7" s="3" t="s">
        <v>138</v>
      </c>
      <c r="B7" s="8">
        <v>11</v>
      </c>
      <c r="C7" s="8">
        <v>202</v>
      </c>
      <c r="D7" s="9">
        <v>0.448</v>
      </c>
      <c r="E7" s="9">
        <v>0.097</v>
      </c>
      <c r="F7" s="9">
        <v>0.581</v>
      </c>
      <c r="G7" s="10">
        <v>-0.133</v>
      </c>
      <c r="H7" s="10">
        <v>-0.045</v>
      </c>
      <c r="I7" s="10">
        <v>-0.003</v>
      </c>
    </row>
    <row r="8" spans="1:9">
      <c r="A8" s="2" t="s">
        <v>139</v>
      </c>
      <c r="B8" s="6">
        <v>11</v>
      </c>
      <c r="C8" s="6">
        <v>229</v>
      </c>
      <c r="D8" s="7">
        <v>0.508</v>
      </c>
      <c r="E8" s="7">
        <v>0.16</v>
      </c>
      <c r="F8" s="7">
        <v>0.676</v>
      </c>
      <c r="G8" s="10">
        <v>-0.168</v>
      </c>
      <c r="H8" s="10">
        <v>-0.066</v>
      </c>
      <c r="I8" s="10">
        <v>-0.053</v>
      </c>
    </row>
    <row r="9" spans="1:9">
      <c r="A9" s="3" t="s">
        <v>140</v>
      </c>
      <c r="B9" s="8">
        <v>6</v>
      </c>
      <c r="C9" s="8">
        <v>110</v>
      </c>
      <c r="D9" s="9">
        <v>0.447</v>
      </c>
      <c r="E9" s="9">
        <v>0.107</v>
      </c>
      <c r="F9" s="9">
        <v>0.659</v>
      </c>
      <c r="G9" s="10">
        <v>-0.212</v>
      </c>
      <c r="H9" s="10">
        <v>-0.164</v>
      </c>
      <c r="I9" s="10">
        <v>-0.133</v>
      </c>
    </row>
    <row r="10" spans="1:9">
      <c r="A10" s="2" t="s">
        <v>141</v>
      </c>
      <c r="B10" s="6">
        <v>2</v>
      </c>
      <c r="C10" s="6">
        <v>42</v>
      </c>
      <c r="D10" s="7">
        <v>0.512</v>
      </c>
      <c r="E10" s="7">
        <v>0</v>
      </c>
      <c r="F10" s="7">
        <v>0.74</v>
      </c>
      <c r="G10" s="10">
        <v>-0.228</v>
      </c>
      <c r="H10" s="10">
        <v>-0.013</v>
      </c>
      <c r="I10" s="11">
        <v>0.028</v>
      </c>
    </row>
    <row r="11" spans="1:9">
      <c r="A11" s="12" t="s">
        <v>142</v>
      </c>
      <c r="B11" s="13">
        <v>1</v>
      </c>
      <c r="C11" s="13">
        <v>16</v>
      </c>
      <c r="D11" s="10">
        <v>0.39</v>
      </c>
      <c r="E11" s="10" t="e">
        <f>#NUM!</f>
        <v>#NUM!</v>
      </c>
      <c r="F11" s="10">
        <v>0.627</v>
      </c>
      <c r="G11" s="10">
        <v>-0.236</v>
      </c>
      <c r="H11" s="10">
        <v>-0.106</v>
      </c>
      <c r="I11" s="10">
        <v>-0.122</v>
      </c>
    </row>
    <row r="12" spans="1:9">
      <c r="A12" s="2" t="s">
        <v>143</v>
      </c>
      <c r="B12" s="6">
        <v>14</v>
      </c>
      <c r="C12" s="6">
        <v>263</v>
      </c>
      <c r="D12" s="7">
        <v>0.458</v>
      </c>
      <c r="E12" s="7">
        <v>0.189</v>
      </c>
      <c r="F12" s="7">
        <v>0.71</v>
      </c>
      <c r="G12" s="10">
        <v>-0.252</v>
      </c>
      <c r="H12" s="10">
        <v>-0.169</v>
      </c>
      <c r="I12" s="10">
        <v>-0.166</v>
      </c>
    </row>
    <row r="13" spans="1:9">
      <c r="A13" s="3" t="s">
        <v>144</v>
      </c>
      <c r="B13" s="8">
        <v>7</v>
      </c>
      <c r="C13" s="8">
        <v>132</v>
      </c>
      <c r="D13" s="9">
        <v>0.46</v>
      </c>
      <c r="E13" s="9">
        <v>0.19</v>
      </c>
      <c r="F13" s="9">
        <v>0.712</v>
      </c>
      <c r="G13" s="10">
        <v>-0.252</v>
      </c>
      <c r="H13" s="10">
        <v>-0.099</v>
      </c>
      <c r="I13" s="10">
        <v>-0.098</v>
      </c>
    </row>
    <row r="16" spans="1:9" ht="60" customHeight="1">
      <c r="A16" s="4" t="s">
        <v>225</v>
      </c>
      <c r="B16" s="4"/>
      <c r="C16" s="4"/>
      <c r="D16" s="4"/>
      <c r="E16" s="4"/>
      <c r="F16" s="4"/>
      <c r="G16" s="4"/>
      <c r="H16" s="4"/>
      <c r="I16" s="4"/>
    </row>
    <row r="17" spans="1:9" ht="30" customHeight="1">
      <c r="A17" s="5" t="s">
        <v>218</v>
      </c>
      <c r="B17" s="5"/>
      <c r="C17" s="5"/>
      <c r="D17" s="5"/>
      <c r="E17" s="5"/>
      <c r="F17" s="5"/>
      <c r="G17" s="5"/>
      <c r="H17" s="5"/>
      <c r="I17" s="5"/>
    </row>
  </sheetData>
  <mergeCells count="2">
    <mergeCell ref="A16:I16"/>
    <mergeCell ref="A17:I17"/>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D9B3FF"/>
  </sheetPr>
  <dimension ref="A1:AL8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0.7109375" customWidth="1"/>
    <col min="3" max="38" width="13.7109375" customWidth="1"/>
  </cols>
  <sheetData>
    <row r="1" spans="1:38">
      <c r="A1" s="1" t="s">
        <v>145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101</v>
      </c>
      <c r="R1" s="1" t="s">
        <v>102</v>
      </c>
      <c r="S1" s="1" t="s">
        <v>103</v>
      </c>
      <c r="T1" s="1" t="s">
        <v>104</v>
      </c>
      <c r="U1" s="1" t="s">
        <v>105</v>
      </c>
      <c r="V1" s="1" t="s">
        <v>106</v>
      </c>
      <c r="W1" s="1" t="s">
        <v>107</v>
      </c>
      <c r="X1" s="1" t="s">
        <v>108</v>
      </c>
      <c r="Y1" s="1" t="s">
        <v>109</v>
      </c>
      <c r="Z1" s="1" t="s">
        <v>110</v>
      </c>
      <c r="AA1" s="1" t="s">
        <v>111</v>
      </c>
      <c r="AB1" s="1" t="s">
        <v>112</v>
      </c>
      <c r="AC1" s="1" t="s">
        <v>113</v>
      </c>
      <c r="AD1" s="1" t="s">
        <v>114</v>
      </c>
      <c r="AE1" s="1" t="s">
        <v>115</v>
      </c>
      <c r="AF1" s="1" t="s">
        <v>116</v>
      </c>
      <c r="AG1" s="1" t="s">
        <v>117</v>
      </c>
      <c r="AH1" s="1" t="s">
        <v>118</v>
      </c>
      <c r="AI1" s="1" t="s">
        <v>119</v>
      </c>
      <c r="AJ1" s="1" t="s">
        <v>120</v>
      </c>
      <c r="AK1" s="1" t="s">
        <v>121</v>
      </c>
      <c r="AL1" s="1" t="s">
        <v>122</v>
      </c>
    </row>
    <row r="2" spans="1:38">
      <c r="A2" s="14" t="s">
        <v>134</v>
      </c>
      <c r="B2" s="14" t="s">
        <v>150</v>
      </c>
      <c r="C2" s="15">
        <v>0.623</v>
      </c>
      <c r="D2" s="15">
        <v>0.5649999999999999</v>
      </c>
      <c r="E2" s="16">
        <v>0.058</v>
      </c>
      <c r="F2" s="15">
        <v>0.771</v>
      </c>
      <c r="G2" s="15">
        <v>0.625</v>
      </c>
      <c r="H2" s="16">
        <v>0.147</v>
      </c>
      <c r="I2" s="15">
        <v>0.6830000000000001</v>
      </c>
      <c r="J2" s="15">
        <v>0.597</v>
      </c>
      <c r="K2" s="16">
        <v>0.08599999999999999</v>
      </c>
      <c r="L2" s="15">
        <v>0.72</v>
      </c>
      <c r="M2" s="15">
        <v>0.603</v>
      </c>
      <c r="N2" s="16">
        <v>0.117</v>
      </c>
      <c r="O2" s="15">
        <v>0.881</v>
      </c>
      <c r="P2" s="15">
        <v>0.676</v>
      </c>
      <c r="Q2" s="16">
        <v>0.205</v>
      </c>
      <c r="R2" s="15">
        <v>0.79</v>
      </c>
      <c r="S2" s="15">
        <v>0.668</v>
      </c>
      <c r="T2" s="16">
        <v>0.122</v>
      </c>
      <c r="U2" s="15">
        <v>0.917</v>
      </c>
      <c r="V2" s="15">
        <v>0.717</v>
      </c>
      <c r="W2" s="16">
        <v>0.2</v>
      </c>
      <c r="X2" s="15">
        <v>0.825</v>
      </c>
      <c r="Y2" s="15">
        <v>0.715</v>
      </c>
      <c r="Z2" s="16">
        <v>0.11</v>
      </c>
      <c r="AA2" s="15">
        <v>0.764</v>
      </c>
      <c r="AB2" s="15">
        <v>0.695</v>
      </c>
      <c r="AC2" s="16">
        <v>0.06900000000000001</v>
      </c>
      <c r="AD2" s="15">
        <v>0.713</v>
      </c>
      <c r="AE2" s="15">
        <v>0.672</v>
      </c>
      <c r="AF2" s="16">
        <v>0.041</v>
      </c>
      <c r="AG2" s="15">
        <v>0.643</v>
      </c>
      <c r="AH2" s="15">
        <v>0.6850000000000001</v>
      </c>
      <c r="AI2" s="17">
        <v>-0.042</v>
      </c>
      <c r="AJ2" s="15">
        <v>0.681</v>
      </c>
      <c r="AK2" s="15">
        <v>0.654</v>
      </c>
      <c r="AL2" s="16">
        <v>0.027</v>
      </c>
    </row>
    <row r="3" spans="1:38">
      <c r="A3" s="3" t="s">
        <v>134</v>
      </c>
      <c r="B3" s="3" t="s">
        <v>62</v>
      </c>
      <c r="C3" s="9">
        <v>0.5</v>
      </c>
      <c r="D3" s="9">
        <v>0.463</v>
      </c>
      <c r="E3" s="11">
        <v>0.037</v>
      </c>
      <c r="F3" s="9">
        <v>0.577</v>
      </c>
      <c r="G3" s="9">
        <v>0.493</v>
      </c>
      <c r="H3" s="11">
        <v>0.08500000000000001</v>
      </c>
      <c r="I3" s="9">
        <v>0.628</v>
      </c>
      <c r="J3" s="9">
        <v>0.527</v>
      </c>
      <c r="K3" s="11">
        <v>0.101</v>
      </c>
      <c r="L3" s="9">
        <v>0.622</v>
      </c>
      <c r="M3" s="9">
        <v>0.536</v>
      </c>
      <c r="N3" s="11">
        <v>0.08599999999999999</v>
      </c>
      <c r="O3" s="9">
        <v>0.774</v>
      </c>
      <c r="P3" s="9">
        <v>0.5610000000000001</v>
      </c>
      <c r="Q3" s="11">
        <v>0.213</v>
      </c>
      <c r="R3" s="9">
        <v>0.667</v>
      </c>
      <c r="S3" s="9">
        <v>0.584</v>
      </c>
      <c r="T3" s="11">
        <v>0.082</v>
      </c>
      <c r="U3" s="9">
        <v>0.927</v>
      </c>
      <c r="V3" s="9">
        <v>0.611</v>
      </c>
      <c r="W3" s="11">
        <v>0.316</v>
      </c>
      <c r="X3" s="9">
        <v>0.659</v>
      </c>
      <c r="Y3" s="9">
        <v>0.609</v>
      </c>
      <c r="Z3" s="11">
        <v>0.05</v>
      </c>
      <c r="AA3" s="9">
        <v>0.797</v>
      </c>
      <c r="AB3" s="9">
        <v>0.618</v>
      </c>
      <c r="AC3" s="11">
        <v>0.178</v>
      </c>
      <c r="AD3" s="9">
        <v>0.805</v>
      </c>
      <c r="AE3" s="9">
        <v>0.629</v>
      </c>
      <c r="AF3" s="11">
        <v>0.176</v>
      </c>
      <c r="AG3" s="9">
        <v>0.579</v>
      </c>
      <c r="AH3" s="9">
        <v>0.628</v>
      </c>
      <c r="AI3" s="10">
        <v>-0.048</v>
      </c>
      <c r="AJ3" s="9">
        <v>0.665</v>
      </c>
      <c r="AK3" s="9">
        <v>0.625</v>
      </c>
      <c r="AL3" s="11">
        <v>0.04</v>
      </c>
    </row>
    <row r="4" spans="1:38">
      <c r="A4" s="2" t="s">
        <v>134</v>
      </c>
      <c r="B4" s="2" t="s">
        <v>54</v>
      </c>
      <c r="C4" s="7">
        <v>0.772</v>
      </c>
      <c r="D4" s="7">
        <v>0.697</v>
      </c>
      <c r="E4" s="11">
        <v>0.075</v>
      </c>
      <c r="F4" s="7">
        <v>0.78</v>
      </c>
      <c r="G4" s="7">
        <v>0.703</v>
      </c>
      <c r="H4" s="11">
        <v>0.077</v>
      </c>
      <c r="I4" s="7"/>
      <c r="J4" s="7"/>
      <c r="K4" s="2"/>
      <c r="L4" s="7">
        <v>1</v>
      </c>
      <c r="M4" s="7">
        <v>0.731</v>
      </c>
      <c r="N4" s="11">
        <v>0.269</v>
      </c>
      <c r="O4" s="7">
        <v>0.927</v>
      </c>
      <c r="P4" s="7">
        <v>0.767</v>
      </c>
      <c r="Q4" s="11">
        <v>0.159</v>
      </c>
      <c r="R4" s="7"/>
      <c r="S4" s="7"/>
      <c r="T4" s="2"/>
      <c r="U4" s="7"/>
      <c r="V4" s="7"/>
      <c r="W4" s="2"/>
      <c r="X4" s="7"/>
      <c r="Y4" s="7"/>
      <c r="Z4" s="2"/>
      <c r="AA4" s="7">
        <v>0.878</v>
      </c>
      <c r="AB4" s="7">
        <v>0.8120000000000001</v>
      </c>
      <c r="AC4" s="11">
        <v>0.066</v>
      </c>
      <c r="AD4" s="7"/>
      <c r="AE4" s="7"/>
      <c r="AF4" s="2"/>
      <c r="AG4" s="7"/>
      <c r="AH4" s="7"/>
      <c r="AI4" s="2"/>
      <c r="AJ4" s="7"/>
      <c r="AK4" s="7"/>
      <c r="AL4" s="2"/>
    </row>
    <row r="5" spans="1:38">
      <c r="A5" s="3" t="s">
        <v>134</v>
      </c>
      <c r="B5" s="3" t="s">
        <v>63</v>
      </c>
      <c r="C5" s="9">
        <v>0.488</v>
      </c>
      <c r="D5" s="9">
        <v>0.396</v>
      </c>
      <c r="E5" s="11">
        <v>0.092</v>
      </c>
      <c r="F5" s="9"/>
      <c r="G5" s="9"/>
      <c r="H5" s="3"/>
      <c r="I5" s="9">
        <v>0.341</v>
      </c>
      <c r="J5" s="9">
        <v>0.453</v>
      </c>
      <c r="K5" s="10">
        <v>-0.112</v>
      </c>
      <c r="L5" s="9"/>
      <c r="M5" s="9"/>
      <c r="N5" s="3"/>
      <c r="O5" s="9"/>
      <c r="P5" s="9"/>
      <c r="Q5" s="3"/>
      <c r="R5" s="9">
        <v>0.707</v>
      </c>
      <c r="S5" s="9">
        <v>0.479</v>
      </c>
      <c r="T5" s="11">
        <v>0.229</v>
      </c>
      <c r="U5" s="9"/>
      <c r="V5" s="9"/>
      <c r="W5" s="3"/>
      <c r="X5" s="9"/>
      <c r="Y5" s="9"/>
      <c r="Z5" s="3"/>
      <c r="AA5" s="9"/>
      <c r="AB5" s="9"/>
      <c r="AC5" s="3"/>
      <c r="AD5" s="9"/>
      <c r="AE5" s="9"/>
      <c r="AF5" s="3"/>
      <c r="AG5" s="9">
        <v>0.573</v>
      </c>
      <c r="AH5" s="9">
        <v>0.517</v>
      </c>
      <c r="AI5" s="11">
        <v>0.056</v>
      </c>
      <c r="AJ5" s="9">
        <v>0.537</v>
      </c>
      <c r="AK5" s="9">
        <v>0.518</v>
      </c>
      <c r="AL5" s="11">
        <v>0.018</v>
      </c>
    </row>
    <row r="6" spans="1:38">
      <c r="A6" s="2" t="s">
        <v>134</v>
      </c>
      <c r="B6" s="2" t="s">
        <v>64</v>
      </c>
      <c r="C6" s="7"/>
      <c r="D6" s="7"/>
      <c r="E6" s="2"/>
      <c r="F6" s="7"/>
      <c r="G6" s="7"/>
      <c r="H6" s="2"/>
      <c r="I6" s="7"/>
      <c r="J6" s="7"/>
      <c r="K6" s="2"/>
      <c r="L6" s="7"/>
      <c r="M6" s="7"/>
      <c r="N6" s="2"/>
      <c r="O6" s="7"/>
      <c r="P6" s="7"/>
      <c r="Q6" s="2"/>
      <c r="R6" s="7"/>
      <c r="S6" s="7"/>
      <c r="T6" s="2"/>
      <c r="U6" s="7"/>
      <c r="V6" s="7"/>
      <c r="W6" s="2"/>
      <c r="X6" s="7"/>
      <c r="Y6" s="7"/>
      <c r="Z6" s="2"/>
      <c r="AA6" s="7">
        <v>0.61</v>
      </c>
      <c r="AB6" s="7">
        <v>0.507</v>
      </c>
      <c r="AC6" s="11">
        <v>0.102</v>
      </c>
      <c r="AD6" s="7">
        <v>0.439</v>
      </c>
      <c r="AE6" s="7">
        <v>0.498</v>
      </c>
      <c r="AF6" s="10">
        <v>-0.059</v>
      </c>
      <c r="AG6" s="7"/>
      <c r="AH6" s="7"/>
      <c r="AI6" s="2"/>
      <c r="AJ6" s="7">
        <v>0.61</v>
      </c>
      <c r="AK6" s="7">
        <v>0.495</v>
      </c>
      <c r="AL6" s="11">
        <v>0.115</v>
      </c>
    </row>
    <row r="7" spans="1:38">
      <c r="A7" s="3" t="s">
        <v>134</v>
      </c>
      <c r="B7" s="3" t="s">
        <v>21</v>
      </c>
      <c r="C7" s="9">
        <v>0.659</v>
      </c>
      <c r="D7" s="9">
        <v>0.618</v>
      </c>
      <c r="E7" s="11">
        <v>0.041</v>
      </c>
      <c r="F7" s="9">
        <v>0.919</v>
      </c>
      <c r="G7" s="9">
        <v>0.726</v>
      </c>
      <c r="H7" s="11">
        <v>0.192</v>
      </c>
      <c r="I7" s="9">
        <v>0.854</v>
      </c>
      <c r="J7" s="9">
        <v>0.74</v>
      </c>
      <c r="K7" s="11">
        <v>0.114</v>
      </c>
      <c r="L7" s="9">
        <v>0.829</v>
      </c>
      <c r="M7" s="9">
        <v>0.741</v>
      </c>
      <c r="N7" s="11">
        <v>0.08799999999999999</v>
      </c>
      <c r="O7" s="9">
        <v>0.967</v>
      </c>
      <c r="P7" s="9">
        <v>0.782</v>
      </c>
      <c r="Q7" s="11">
        <v>0.185</v>
      </c>
      <c r="R7" s="9">
        <v>0.9350000000000001</v>
      </c>
      <c r="S7" s="9">
        <v>0.791</v>
      </c>
      <c r="T7" s="11">
        <v>0.144</v>
      </c>
      <c r="U7" s="9">
        <v>0.927</v>
      </c>
      <c r="V7" s="9">
        <v>0.8070000000000001</v>
      </c>
      <c r="W7" s="11">
        <v>0.12</v>
      </c>
      <c r="X7" s="9">
        <v>0.951</v>
      </c>
      <c r="Y7" s="9">
        <v>0.8139999999999999</v>
      </c>
      <c r="Z7" s="11">
        <v>0.137</v>
      </c>
      <c r="AA7" s="9">
        <v>0.963</v>
      </c>
      <c r="AB7" s="9">
        <v>0.8100000000000001</v>
      </c>
      <c r="AC7" s="11">
        <v>0.153</v>
      </c>
      <c r="AD7" s="9">
        <v>0.951</v>
      </c>
      <c r="AE7" s="9">
        <v>0.798</v>
      </c>
      <c r="AF7" s="11">
        <v>0.154</v>
      </c>
      <c r="AG7" s="9">
        <v>0.6889999999999999</v>
      </c>
      <c r="AH7" s="9">
        <v>0.775</v>
      </c>
      <c r="AI7" s="10">
        <v>-0.08599999999999999</v>
      </c>
      <c r="AJ7" s="9">
        <v>0.837</v>
      </c>
      <c r="AK7" s="9">
        <v>0.768</v>
      </c>
      <c r="AL7" s="11">
        <v>0.06900000000000001</v>
      </c>
    </row>
    <row r="8" spans="1:38">
      <c r="A8" s="2" t="s">
        <v>134</v>
      </c>
      <c r="B8" s="2" t="s">
        <v>58</v>
      </c>
      <c r="C8" s="7"/>
      <c r="D8" s="7"/>
      <c r="E8" s="2"/>
      <c r="F8" s="7">
        <v>0.902</v>
      </c>
      <c r="G8" s="7">
        <v>0.637</v>
      </c>
      <c r="H8" s="11">
        <v>0.265</v>
      </c>
      <c r="I8" s="7">
        <v>0.707</v>
      </c>
      <c r="J8" s="7">
        <v>0.65</v>
      </c>
      <c r="K8" s="11">
        <v>0.057</v>
      </c>
      <c r="L8" s="7"/>
      <c r="M8" s="7"/>
      <c r="N8" s="2"/>
      <c r="O8" s="7">
        <v>1</v>
      </c>
      <c r="P8" s="7">
        <v>0.725</v>
      </c>
      <c r="Q8" s="11">
        <v>0.275</v>
      </c>
      <c r="R8" s="7">
        <v>0.805</v>
      </c>
      <c r="S8" s="7">
        <v>0.738</v>
      </c>
      <c r="T8" s="11">
        <v>0.066</v>
      </c>
      <c r="U8" s="7">
        <v>0.878</v>
      </c>
      <c r="V8" s="7">
        <v>0.75</v>
      </c>
      <c r="W8" s="11">
        <v>0.128</v>
      </c>
      <c r="X8" s="7">
        <v>0.78</v>
      </c>
      <c r="Y8" s="7">
        <v>0.761</v>
      </c>
      <c r="Z8" s="11">
        <v>0.02</v>
      </c>
      <c r="AA8" s="7">
        <v>0.6889999999999999</v>
      </c>
      <c r="AB8" s="7">
        <v>0.76</v>
      </c>
      <c r="AC8" s="10">
        <v>-0.07099999999999999</v>
      </c>
      <c r="AD8" s="7">
        <v>0.61</v>
      </c>
      <c r="AE8" s="7">
        <v>0.751</v>
      </c>
      <c r="AF8" s="10">
        <v>-0.141</v>
      </c>
      <c r="AG8" s="7">
        <v>0.695</v>
      </c>
      <c r="AH8" s="7">
        <v>0.736</v>
      </c>
      <c r="AI8" s="10">
        <v>-0.04</v>
      </c>
      <c r="AJ8" s="7">
        <v>0.622</v>
      </c>
      <c r="AK8" s="7">
        <v>0.724</v>
      </c>
      <c r="AL8" s="10">
        <v>-0.102</v>
      </c>
    </row>
    <row r="9" spans="1:38">
      <c r="A9" s="14" t="s">
        <v>139</v>
      </c>
      <c r="B9" s="14" t="s">
        <v>150</v>
      </c>
      <c r="C9" s="15"/>
      <c r="D9" s="15"/>
      <c r="E9" s="14"/>
      <c r="F9" s="15"/>
      <c r="G9" s="15"/>
      <c r="H9" s="14"/>
      <c r="I9" s="15"/>
      <c r="J9" s="15"/>
      <c r="K9" s="14"/>
      <c r="L9" s="15"/>
      <c r="M9" s="15"/>
      <c r="N9" s="14"/>
      <c r="O9" s="15"/>
      <c r="P9" s="15"/>
      <c r="Q9" s="14"/>
      <c r="R9" s="15"/>
      <c r="S9" s="15"/>
      <c r="T9" s="14"/>
      <c r="U9" s="15"/>
      <c r="V9" s="15"/>
      <c r="W9" s="14"/>
      <c r="X9" s="15"/>
      <c r="Y9" s="15"/>
      <c r="Z9" s="14"/>
      <c r="AA9" s="15">
        <v>0.6909999999999999</v>
      </c>
      <c r="AB9" s="15">
        <v>0.703</v>
      </c>
      <c r="AC9" s="17">
        <v>-0.012</v>
      </c>
      <c r="AD9" s="15">
        <v>0.662</v>
      </c>
      <c r="AE9" s="15">
        <v>0.704</v>
      </c>
      <c r="AF9" s="17">
        <v>-0.042</v>
      </c>
      <c r="AG9" s="15">
        <v>0.63</v>
      </c>
      <c r="AH9" s="15">
        <v>0.6909999999999999</v>
      </c>
      <c r="AI9" s="17">
        <v>-0.061</v>
      </c>
      <c r="AJ9" s="15">
        <v>0.508</v>
      </c>
      <c r="AK9" s="15">
        <v>0.676</v>
      </c>
      <c r="AL9" s="17">
        <v>-0.168</v>
      </c>
    </row>
    <row r="10" spans="1:38">
      <c r="A10" s="2" t="s">
        <v>139</v>
      </c>
      <c r="B10" s="2" t="s">
        <v>60</v>
      </c>
      <c r="C10" s="7"/>
      <c r="D10" s="7"/>
      <c r="E10" s="2"/>
      <c r="F10" s="7"/>
      <c r="G10" s="7"/>
      <c r="H10" s="2"/>
      <c r="I10" s="7"/>
      <c r="J10" s="7"/>
      <c r="K10" s="2"/>
      <c r="L10" s="7"/>
      <c r="M10" s="7"/>
      <c r="N10" s="2"/>
      <c r="O10" s="7"/>
      <c r="P10" s="7"/>
      <c r="Q10" s="2"/>
      <c r="R10" s="7"/>
      <c r="S10" s="7"/>
      <c r="T10" s="2"/>
      <c r="U10" s="7"/>
      <c r="V10" s="7"/>
      <c r="W10" s="2"/>
      <c r="X10" s="7"/>
      <c r="Y10" s="7"/>
      <c r="Z10" s="2"/>
      <c r="AA10" s="7">
        <v>0.805</v>
      </c>
      <c r="AB10" s="7">
        <v>0.732</v>
      </c>
      <c r="AC10" s="11">
        <v>0.07199999999999999</v>
      </c>
      <c r="AD10" s="7">
        <v>0.671</v>
      </c>
      <c r="AE10" s="7">
        <v>0.725</v>
      </c>
      <c r="AF10" s="10">
        <v>-0.055</v>
      </c>
      <c r="AG10" s="7">
        <v>0.677</v>
      </c>
      <c r="AH10" s="7">
        <v>0.713</v>
      </c>
      <c r="AI10" s="10">
        <v>-0.036</v>
      </c>
      <c r="AJ10" s="7">
        <v>0.598</v>
      </c>
      <c r="AK10" s="7">
        <v>0.702</v>
      </c>
      <c r="AL10" s="10">
        <v>-0.105</v>
      </c>
    </row>
    <row r="11" spans="1:38">
      <c r="A11" s="3" t="s">
        <v>139</v>
      </c>
      <c r="B11" s="3" t="s">
        <v>57</v>
      </c>
      <c r="C11" s="9"/>
      <c r="D11" s="9"/>
      <c r="E11" s="3"/>
      <c r="F11" s="9"/>
      <c r="G11" s="9"/>
      <c r="H11" s="3"/>
      <c r="I11" s="9"/>
      <c r="J11" s="9"/>
      <c r="K11" s="3"/>
      <c r="L11" s="9"/>
      <c r="M11" s="9"/>
      <c r="N11" s="3"/>
      <c r="O11" s="9"/>
      <c r="P11" s="9"/>
      <c r="Q11" s="3"/>
      <c r="R11" s="9"/>
      <c r="S11" s="9"/>
      <c r="T11" s="3"/>
      <c r="U11" s="9"/>
      <c r="V11" s="9"/>
      <c r="W11" s="3"/>
      <c r="X11" s="9"/>
      <c r="Y11" s="9"/>
      <c r="Z11" s="3"/>
      <c r="AA11" s="9">
        <v>0.577</v>
      </c>
      <c r="AB11" s="9">
        <v>0.673</v>
      </c>
      <c r="AC11" s="10">
        <v>-0.096</v>
      </c>
      <c r="AD11" s="9">
        <v>0.659</v>
      </c>
      <c r="AE11" s="9">
        <v>0.66</v>
      </c>
      <c r="AF11" s="10">
        <v>-0.002</v>
      </c>
      <c r="AG11" s="9">
        <v>0.537</v>
      </c>
      <c r="AH11" s="9">
        <v>0.646</v>
      </c>
      <c r="AI11" s="10">
        <v>-0.11</v>
      </c>
      <c r="AJ11" s="9">
        <v>0.431</v>
      </c>
      <c r="AK11" s="9">
        <v>0.627</v>
      </c>
      <c r="AL11" s="10">
        <v>-0.196</v>
      </c>
    </row>
    <row r="12" spans="1:38">
      <c r="A12" s="14" t="s">
        <v>142</v>
      </c>
      <c r="B12" s="14" t="s">
        <v>150</v>
      </c>
      <c r="C12" s="15">
        <v>0.498</v>
      </c>
      <c r="D12" s="15">
        <v>0.595</v>
      </c>
      <c r="E12" s="17">
        <v>-0.097</v>
      </c>
      <c r="F12" s="15">
        <v>0.649</v>
      </c>
      <c r="G12" s="15">
        <v>0.703</v>
      </c>
      <c r="H12" s="17">
        <v>-0.055</v>
      </c>
      <c r="I12" s="15">
        <v>0.707</v>
      </c>
      <c r="J12" s="15">
        <v>0.697</v>
      </c>
      <c r="K12" s="16">
        <v>0.01</v>
      </c>
      <c r="L12" s="15">
        <v>0.712</v>
      </c>
      <c r="M12" s="15">
        <v>0.698</v>
      </c>
      <c r="N12" s="16">
        <v>0.014</v>
      </c>
      <c r="O12" s="15">
        <v>0.947</v>
      </c>
      <c r="P12" s="15">
        <v>0.739</v>
      </c>
      <c r="Q12" s="16">
        <v>0.208</v>
      </c>
      <c r="R12" s="15">
        <v>0.883</v>
      </c>
      <c r="S12" s="15">
        <v>0.764</v>
      </c>
      <c r="T12" s="16">
        <v>0.119</v>
      </c>
      <c r="U12" s="15">
        <v>0.845</v>
      </c>
      <c r="V12" s="15">
        <v>0.777</v>
      </c>
      <c r="W12" s="16">
        <v>0.068</v>
      </c>
      <c r="X12" s="15">
        <v>0.659</v>
      </c>
      <c r="Y12" s="15">
        <v>0.8139999999999999</v>
      </c>
      <c r="Z12" s="17">
        <v>-0.155</v>
      </c>
      <c r="AA12" s="15">
        <v>0.602</v>
      </c>
      <c r="AB12" s="15">
        <v>0.8110000000000001</v>
      </c>
      <c r="AC12" s="17">
        <v>-0.209</v>
      </c>
      <c r="AD12" s="15">
        <v>0.482</v>
      </c>
      <c r="AE12" s="15">
        <v>0.798</v>
      </c>
      <c r="AF12" s="17">
        <v>-0.316</v>
      </c>
      <c r="AG12" s="15">
        <v>0.351</v>
      </c>
      <c r="AH12" s="15">
        <v>0.773</v>
      </c>
      <c r="AI12" s="17">
        <v>-0.422</v>
      </c>
      <c r="AJ12" s="15">
        <v>0.39</v>
      </c>
      <c r="AK12" s="15">
        <v>0.627</v>
      </c>
      <c r="AL12" s="17">
        <v>-0.236</v>
      </c>
    </row>
    <row r="13" spans="1:38">
      <c r="A13" s="3" t="s">
        <v>142</v>
      </c>
      <c r="B13" s="3" t="s">
        <v>56</v>
      </c>
      <c r="C13" s="9">
        <v>0.317</v>
      </c>
      <c r="D13" s="9">
        <v>0.475</v>
      </c>
      <c r="E13" s="10">
        <v>-0.158</v>
      </c>
      <c r="F13" s="9"/>
      <c r="G13" s="9"/>
      <c r="H13" s="3"/>
      <c r="I13" s="9">
        <v>0.963</v>
      </c>
      <c r="J13" s="9">
        <v>0.633</v>
      </c>
      <c r="K13" s="11">
        <v>0.33</v>
      </c>
      <c r="L13" s="9">
        <v>0.707</v>
      </c>
      <c r="M13" s="9">
        <v>0.649</v>
      </c>
      <c r="N13" s="11">
        <v>0.058</v>
      </c>
      <c r="O13" s="9">
        <v>0.976</v>
      </c>
      <c r="P13" s="9">
        <v>0.696</v>
      </c>
      <c r="Q13" s="11">
        <v>0.279</v>
      </c>
      <c r="R13" s="9">
        <v>0.988</v>
      </c>
      <c r="S13" s="9">
        <v>0.723</v>
      </c>
      <c r="T13" s="11">
        <v>0.265</v>
      </c>
      <c r="U13" s="9">
        <v>0.829</v>
      </c>
      <c r="V13" s="9">
        <v>0.747</v>
      </c>
      <c r="W13" s="11">
        <v>0.082</v>
      </c>
      <c r="X13" s="9"/>
      <c r="Y13" s="9"/>
      <c r="Z13" s="3"/>
      <c r="AA13" s="9"/>
      <c r="AB13" s="9"/>
      <c r="AC13" s="3"/>
      <c r="AD13" s="9"/>
      <c r="AE13" s="9"/>
      <c r="AF13" s="3"/>
      <c r="AG13" s="9"/>
      <c r="AH13" s="9"/>
      <c r="AI13" s="3"/>
      <c r="AJ13" s="9"/>
      <c r="AK13" s="9"/>
      <c r="AL13" s="3"/>
    </row>
    <row r="14" spans="1:38">
      <c r="A14" s="2" t="s">
        <v>142</v>
      </c>
      <c r="B14" s="2" t="s">
        <v>54</v>
      </c>
      <c r="C14" s="7">
        <v>0.585</v>
      </c>
      <c r="D14" s="7">
        <v>0.697</v>
      </c>
      <c r="E14" s="10">
        <v>-0.112</v>
      </c>
      <c r="F14" s="7">
        <v>0.649</v>
      </c>
      <c r="G14" s="7">
        <v>0.703</v>
      </c>
      <c r="H14" s="10">
        <v>-0.055</v>
      </c>
      <c r="I14" s="7">
        <v>0.65</v>
      </c>
      <c r="J14" s="7">
        <v>0.755</v>
      </c>
      <c r="K14" s="10">
        <v>-0.104</v>
      </c>
      <c r="L14" s="7">
        <v>0.715</v>
      </c>
      <c r="M14" s="7">
        <v>0.731</v>
      </c>
      <c r="N14" s="10">
        <v>-0.016</v>
      </c>
      <c r="O14" s="7"/>
      <c r="P14" s="7"/>
      <c r="Q14" s="2"/>
      <c r="R14" s="7"/>
      <c r="S14" s="7"/>
      <c r="T14" s="2"/>
      <c r="U14" s="7"/>
      <c r="V14" s="7"/>
      <c r="W14" s="2"/>
      <c r="X14" s="7"/>
      <c r="Y14" s="7"/>
      <c r="Z14" s="2"/>
      <c r="AA14" s="7">
        <v>0.293</v>
      </c>
      <c r="AB14" s="7">
        <v>0.8120000000000001</v>
      </c>
      <c r="AC14" s="10">
        <v>-0.519</v>
      </c>
      <c r="AD14" s="7"/>
      <c r="AE14" s="7"/>
      <c r="AF14" s="2"/>
      <c r="AG14" s="7">
        <v>0.22</v>
      </c>
      <c r="AH14" s="7">
        <v>0.764</v>
      </c>
      <c r="AI14" s="10">
        <v>-0.545</v>
      </c>
      <c r="AJ14" s="7"/>
      <c r="AK14" s="7"/>
      <c r="AL14" s="2"/>
    </row>
    <row r="15" spans="1:38">
      <c r="A15" s="3" t="s">
        <v>142</v>
      </c>
      <c r="B15" s="3" t="s">
        <v>21</v>
      </c>
      <c r="C15" s="9">
        <v>0.573</v>
      </c>
      <c r="D15" s="9">
        <v>0.618</v>
      </c>
      <c r="E15" s="10">
        <v>-0.045</v>
      </c>
      <c r="F15" s="9"/>
      <c r="G15" s="9"/>
      <c r="H15" s="3"/>
      <c r="I15" s="9"/>
      <c r="J15" s="9"/>
      <c r="K15" s="3"/>
      <c r="L15" s="9"/>
      <c r="M15" s="9"/>
      <c r="N15" s="3"/>
      <c r="O15" s="9">
        <v>0.919</v>
      </c>
      <c r="P15" s="9">
        <v>0.782</v>
      </c>
      <c r="Q15" s="11">
        <v>0.136</v>
      </c>
      <c r="R15" s="9">
        <v>0.8129999999999999</v>
      </c>
      <c r="S15" s="9">
        <v>0.791</v>
      </c>
      <c r="T15" s="11">
        <v>0.022</v>
      </c>
      <c r="U15" s="9">
        <v>0.86</v>
      </c>
      <c r="V15" s="9">
        <v>0.8070000000000001</v>
      </c>
      <c r="W15" s="11">
        <v>0.053</v>
      </c>
      <c r="X15" s="9">
        <v>0.659</v>
      </c>
      <c r="Y15" s="9">
        <v>0.8139999999999999</v>
      </c>
      <c r="Z15" s="10">
        <v>-0.155</v>
      </c>
      <c r="AA15" s="9">
        <v>0.756</v>
      </c>
      <c r="AB15" s="9">
        <v>0.8100000000000001</v>
      </c>
      <c r="AC15" s="10">
        <v>-0.054</v>
      </c>
      <c r="AD15" s="9">
        <v>0.482</v>
      </c>
      <c r="AE15" s="9">
        <v>0.798</v>
      </c>
      <c r="AF15" s="10">
        <v>-0.316</v>
      </c>
      <c r="AG15" s="9">
        <v>0.384</v>
      </c>
      <c r="AH15" s="9">
        <v>0.775</v>
      </c>
      <c r="AI15" s="10">
        <v>-0.391</v>
      </c>
      <c r="AJ15" s="9"/>
      <c r="AK15" s="9"/>
      <c r="AL15" s="3"/>
    </row>
    <row r="16" spans="1:38">
      <c r="A16" s="14" t="s">
        <v>141</v>
      </c>
      <c r="B16" s="14" t="s">
        <v>150</v>
      </c>
      <c r="C16" s="15"/>
      <c r="D16" s="15"/>
      <c r="E16" s="14"/>
      <c r="F16" s="15"/>
      <c r="G16" s="15"/>
      <c r="H16" s="14"/>
      <c r="I16" s="15">
        <v>0.821</v>
      </c>
      <c r="J16" s="15">
        <v>0.697</v>
      </c>
      <c r="K16" s="16">
        <v>0.124</v>
      </c>
      <c r="L16" s="15">
        <v>0.453</v>
      </c>
      <c r="M16" s="15">
        <v>0.548</v>
      </c>
      <c r="N16" s="17">
        <v>-0.095</v>
      </c>
      <c r="O16" s="15">
        <v>0.837</v>
      </c>
      <c r="P16" s="15">
        <v>0.6830000000000001</v>
      </c>
      <c r="Q16" s="16">
        <v>0.155</v>
      </c>
      <c r="R16" s="15">
        <v>0.756</v>
      </c>
      <c r="S16" s="15">
        <v>0.6860000000000001</v>
      </c>
      <c r="T16" s="16">
        <v>0.07000000000000001</v>
      </c>
      <c r="U16" s="15">
        <v>0.843</v>
      </c>
      <c r="V16" s="15">
        <v>0.725</v>
      </c>
      <c r="W16" s="16">
        <v>0.118</v>
      </c>
      <c r="X16" s="15">
        <v>0.889</v>
      </c>
      <c r="Y16" s="15">
        <v>0.746</v>
      </c>
      <c r="Z16" s="16">
        <v>0.142</v>
      </c>
      <c r="AA16" s="15">
        <v>0.707</v>
      </c>
      <c r="AB16" s="15">
        <v>0.803</v>
      </c>
      <c r="AC16" s="17">
        <v>-0.096</v>
      </c>
      <c r="AD16" s="15">
        <v>0.5570000000000001</v>
      </c>
      <c r="AE16" s="15">
        <v>0.775</v>
      </c>
      <c r="AF16" s="17">
        <v>-0.218</v>
      </c>
      <c r="AG16" s="15">
        <v>0.435</v>
      </c>
      <c r="AH16" s="15">
        <v>0.731</v>
      </c>
      <c r="AI16" s="17">
        <v>-0.296</v>
      </c>
      <c r="AJ16" s="15">
        <v>0.512</v>
      </c>
      <c r="AK16" s="15">
        <v>0.74</v>
      </c>
      <c r="AL16" s="17">
        <v>-0.228</v>
      </c>
    </row>
    <row r="17" spans="1:38">
      <c r="A17" s="3" t="s">
        <v>141</v>
      </c>
      <c r="B17" s="3" t="s">
        <v>123</v>
      </c>
      <c r="C17" s="9"/>
      <c r="D17" s="9"/>
      <c r="E17" s="3"/>
      <c r="F17" s="9"/>
      <c r="G17" s="9"/>
      <c r="H17" s="3"/>
      <c r="I17" s="9"/>
      <c r="J17" s="9"/>
      <c r="K17" s="3"/>
      <c r="L17" s="9">
        <v>0.366</v>
      </c>
      <c r="M17" s="9">
        <v>0.494</v>
      </c>
      <c r="N17" s="10">
        <v>-0.128</v>
      </c>
      <c r="O17" s="9"/>
      <c r="P17" s="9"/>
      <c r="Q17" s="3"/>
      <c r="R17" s="9">
        <v>0.463</v>
      </c>
      <c r="S17" s="9">
        <v>0.555</v>
      </c>
      <c r="T17" s="10">
        <v>-0.092</v>
      </c>
      <c r="U17" s="9"/>
      <c r="V17" s="9"/>
      <c r="W17" s="3"/>
      <c r="X17" s="9">
        <v>0.878</v>
      </c>
      <c r="Y17" s="9">
        <v>0.594</v>
      </c>
      <c r="Z17" s="11">
        <v>0.284</v>
      </c>
      <c r="AA17" s="9"/>
      <c r="AB17" s="9"/>
      <c r="AC17" s="3"/>
      <c r="AD17" s="9"/>
      <c r="AE17" s="9"/>
      <c r="AF17" s="3"/>
      <c r="AG17" s="9"/>
      <c r="AH17" s="9"/>
      <c r="AI17" s="3"/>
      <c r="AJ17" s="9"/>
      <c r="AK17" s="9"/>
      <c r="AL17" s="3"/>
    </row>
    <row r="18" spans="1:38">
      <c r="A18" s="2" t="s">
        <v>141</v>
      </c>
      <c r="B18" s="2" t="s">
        <v>56</v>
      </c>
      <c r="C18" s="7"/>
      <c r="D18" s="7"/>
      <c r="E18" s="2"/>
      <c r="F18" s="7"/>
      <c r="G18" s="7"/>
      <c r="H18" s="2"/>
      <c r="I18" s="7"/>
      <c r="J18" s="7"/>
      <c r="K18" s="2"/>
      <c r="L18" s="7"/>
      <c r="M18" s="7"/>
      <c r="N18" s="2"/>
      <c r="O18" s="7">
        <v>0.829</v>
      </c>
      <c r="P18" s="7">
        <v>0.696</v>
      </c>
      <c r="Q18" s="11">
        <v>0.133</v>
      </c>
      <c r="R18" s="7"/>
      <c r="S18" s="7"/>
      <c r="T18" s="2"/>
      <c r="U18" s="7">
        <v>0.902</v>
      </c>
      <c r="V18" s="7">
        <v>0.747</v>
      </c>
      <c r="W18" s="11">
        <v>0.156</v>
      </c>
      <c r="X18" s="7">
        <v>1</v>
      </c>
      <c r="Y18" s="7">
        <v>0.763</v>
      </c>
      <c r="Z18" s="11">
        <v>0.237</v>
      </c>
      <c r="AA18" s="7"/>
      <c r="AB18" s="7"/>
      <c r="AC18" s="2"/>
      <c r="AD18" s="7"/>
      <c r="AE18" s="7"/>
      <c r="AF18" s="2"/>
      <c r="AG18" s="7"/>
      <c r="AH18" s="7"/>
      <c r="AI18" s="2"/>
      <c r="AJ18" s="7"/>
      <c r="AK18" s="7"/>
      <c r="AL18" s="2"/>
    </row>
    <row r="19" spans="1:38">
      <c r="A19" s="3" t="s">
        <v>141</v>
      </c>
      <c r="B19" s="3" t="s">
        <v>54</v>
      </c>
      <c r="C19" s="9"/>
      <c r="D19" s="9"/>
      <c r="E19" s="3"/>
      <c r="F19" s="9"/>
      <c r="G19" s="9"/>
      <c r="H19" s="3"/>
      <c r="I19" s="9">
        <v>0.915</v>
      </c>
      <c r="J19" s="9">
        <v>0.755</v>
      </c>
      <c r="K19" s="11">
        <v>0.16</v>
      </c>
      <c r="L19" s="9">
        <v>0.805</v>
      </c>
      <c r="M19" s="9">
        <v>0.731</v>
      </c>
      <c r="N19" s="11">
        <v>0.074</v>
      </c>
      <c r="O19" s="9">
        <v>0.86</v>
      </c>
      <c r="P19" s="9">
        <v>0.767</v>
      </c>
      <c r="Q19" s="11">
        <v>0.092</v>
      </c>
      <c r="R19" s="9">
        <v>0.772</v>
      </c>
      <c r="S19" s="9">
        <v>0.782</v>
      </c>
      <c r="T19" s="10">
        <v>-0.01</v>
      </c>
      <c r="U19" s="9">
        <v>0.927</v>
      </c>
      <c r="V19" s="9">
        <v>0.8070000000000001</v>
      </c>
      <c r="W19" s="11">
        <v>0.119</v>
      </c>
      <c r="X19" s="9">
        <v>0.9350000000000001</v>
      </c>
      <c r="Y19" s="9">
        <v>0.821</v>
      </c>
      <c r="Z19" s="11">
        <v>0.114</v>
      </c>
      <c r="AA19" s="9">
        <v>0.741</v>
      </c>
      <c r="AB19" s="9">
        <v>0.8120000000000001</v>
      </c>
      <c r="AC19" s="10">
        <v>-0.07099999999999999</v>
      </c>
      <c r="AD19" s="9">
        <v>0.61</v>
      </c>
      <c r="AE19" s="9">
        <v>0.795</v>
      </c>
      <c r="AF19" s="10">
        <v>-0.185</v>
      </c>
      <c r="AG19" s="9">
        <v>0.491</v>
      </c>
      <c r="AH19" s="9">
        <v>0.764</v>
      </c>
      <c r="AI19" s="10">
        <v>-0.273</v>
      </c>
      <c r="AJ19" s="9">
        <v>0.512</v>
      </c>
      <c r="AK19" s="9">
        <v>0.74</v>
      </c>
      <c r="AL19" s="10">
        <v>-0.228</v>
      </c>
    </row>
    <row r="20" spans="1:38">
      <c r="A20" s="2" t="s">
        <v>141</v>
      </c>
      <c r="B20" s="2" t="s">
        <v>58</v>
      </c>
      <c r="C20" s="7"/>
      <c r="D20" s="7"/>
      <c r="E20" s="2"/>
      <c r="F20" s="7"/>
      <c r="G20" s="7"/>
      <c r="H20" s="2"/>
      <c r="I20" s="7"/>
      <c r="J20" s="7"/>
      <c r="K20" s="2"/>
      <c r="L20" s="7">
        <v>0.707</v>
      </c>
      <c r="M20" s="7">
        <v>0.666</v>
      </c>
      <c r="N20" s="11">
        <v>0.042</v>
      </c>
      <c r="O20" s="7"/>
      <c r="P20" s="7"/>
      <c r="Q20" s="2"/>
      <c r="R20" s="7"/>
      <c r="S20" s="7"/>
      <c r="T20" s="2"/>
      <c r="U20" s="7"/>
      <c r="V20" s="7"/>
      <c r="W20" s="2"/>
      <c r="X20" s="7"/>
      <c r="Y20" s="7"/>
      <c r="Z20" s="2"/>
      <c r="AA20" s="7">
        <v>0.537</v>
      </c>
      <c r="AB20" s="7">
        <v>0.76</v>
      </c>
      <c r="AC20" s="10">
        <v>-0.223</v>
      </c>
      <c r="AD20" s="7"/>
      <c r="AE20" s="7"/>
      <c r="AF20" s="2"/>
      <c r="AG20" s="7">
        <v>0.366</v>
      </c>
      <c r="AH20" s="7">
        <v>0.736</v>
      </c>
      <c r="AI20" s="10">
        <v>-0.37</v>
      </c>
      <c r="AJ20" s="7"/>
      <c r="AK20" s="7"/>
      <c r="AL20" s="2"/>
    </row>
    <row r="21" spans="1:38">
      <c r="A21" s="3" t="s">
        <v>141</v>
      </c>
      <c r="B21" s="3" t="s">
        <v>127</v>
      </c>
      <c r="C21" s="9"/>
      <c r="D21" s="9"/>
      <c r="E21" s="3"/>
      <c r="F21" s="9"/>
      <c r="G21" s="9"/>
      <c r="H21" s="3"/>
      <c r="I21" s="9"/>
      <c r="J21" s="9"/>
      <c r="K21" s="3"/>
      <c r="L21" s="9">
        <v>0.341</v>
      </c>
      <c r="M21" s="9">
        <v>0.501</v>
      </c>
      <c r="N21" s="10">
        <v>-0.159</v>
      </c>
      <c r="O21" s="9">
        <v>0.862</v>
      </c>
      <c r="P21" s="9">
        <v>0.584</v>
      </c>
      <c r="Q21" s="11">
        <v>0.278</v>
      </c>
      <c r="R21" s="9">
        <v>0.878</v>
      </c>
      <c r="S21" s="9">
        <v>0.608</v>
      </c>
      <c r="T21" s="11">
        <v>0.27</v>
      </c>
      <c r="U21" s="9">
        <v>0.74</v>
      </c>
      <c r="V21" s="9">
        <v>0.635</v>
      </c>
      <c r="W21" s="11">
        <v>0.105</v>
      </c>
      <c r="X21" s="9">
        <v>0.6830000000000001</v>
      </c>
      <c r="Y21" s="9">
        <v>0.651</v>
      </c>
      <c r="Z21" s="11">
        <v>0.032</v>
      </c>
      <c r="AA21" s="9"/>
      <c r="AB21" s="9"/>
      <c r="AC21" s="3"/>
      <c r="AD21" s="9"/>
      <c r="AE21" s="9"/>
      <c r="AF21" s="3"/>
      <c r="AG21" s="9"/>
      <c r="AH21" s="9"/>
      <c r="AI21" s="3"/>
      <c r="AJ21" s="9"/>
      <c r="AK21" s="9"/>
      <c r="AL21" s="3"/>
    </row>
    <row r="22" spans="1:38">
      <c r="A22" s="2" t="s">
        <v>141</v>
      </c>
      <c r="B22" s="2" t="s">
        <v>57</v>
      </c>
      <c r="C22" s="7"/>
      <c r="D22" s="7"/>
      <c r="E22" s="2"/>
      <c r="F22" s="7"/>
      <c r="G22" s="7"/>
      <c r="H22" s="2"/>
      <c r="I22" s="7">
        <v>0.634</v>
      </c>
      <c r="J22" s="7">
        <v>0.581</v>
      </c>
      <c r="K22" s="11">
        <v>0.053</v>
      </c>
      <c r="L22" s="7"/>
      <c r="M22" s="7"/>
      <c r="N22" s="2"/>
      <c r="O22" s="7">
        <v>0.6830000000000001</v>
      </c>
      <c r="P22" s="7">
        <v>0.626</v>
      </c>
      <c r="Q22" s="11">
        <v>0.056</v>
      </c>
      <c r="R22" s="7"/>
      <c r="S22" s="7"/>
      <c r="T22" s="2"/>
      <c r="U22" s="7"/>
      <c r="V22" s="7"/>
      <c r="W22" s="2"/>
      <c r="X22" s="7"/>
      <c r="Y22" s="7"/>
      <c r="Z22" s="2"/>
      <c r="AA22" s="7"/>
      <c r="AB22" s="7"/>
      <c r="AC22" s="2"/>
      <c r="AD22" s="7">
        <v>0.244</v>
      </c>
      <c r="AE22" s="7">
        <v>0.66</v>
      </c>
      <c r="AF22" s="10">
        <v>-0.417</v>
      </c>
      <c r="AG22" s="7">
        <v>0.366</v>
      </c>
      <c r="AH22" s="7">
        <v>0.646</v>
      </c>
      <c r="AI22" s="10">
        <v>-0.28</v>
      </c>
      <c r="AJ22" s="7"/>
      <c r="AK22" s="7"/>
      <c r="AL22" s="2"/>
    </row>
    <row r="23" spans="1:38">
      <c r="A23" s="14" t="s">
        <v>138</v>
      </c>
      <c r="B23" s="14" t="s">
        <v>150</v>
      </c>
      <c r="C23" s="15">
        <v>0.366</v>
      </c>
      <c r="D23" s="15">
        <v>0.389</v>
      </c>
      <c r="E23" s="17">
        <v>-0.023</v>
      </c>
      <c r="F23" s="15">
        <v>0.5570000000000001</v>
      </c>
      <c r="G23" s="15">
        <v>0.527</v>
      </c>
      <c r="H23" s="16">
        <v>0.03</v>
      </c>
      <c r="I23" s="15">
        <v>0.427</v>
      </c>
      <c r="J23" s="15">
        <v>0.517</v>
      </c>
      <c r="K23" s="17">
        <v>-0.09</v>
      </c>
      <c r="L23" s="15">
        <v>0.432</v>
      </c>
      <c r="M23" s="15">
        <v>0.471</v>
      </c>
      <c r="N23" s="17">
        <v>-0.039</v>
      </c>
      <c r="O23" s="15">
        <v>0.591</v>
      </c>
      <c r="P23" s="15">
        <v>0.496</v>
      </c>
      <c r="Q23" s="16">
        <v>0.096</v>
      </c>
      <c r="R23" s="15">
        <v>0.549</v>
      </c>
      <c r="S23" s="15">
        <v>0.511</v>
      </c>
      <c r="T23" s="16">
        <v>0.038</v>
      </c>
      <c r="U23" s="15">
        <v>0.634</v>
      </c>
      <c r="V23" s="15">
        <v>0.55</v>
      </c>
      <c r="W23" s="16">
        <v>0.08500000000000001</v>
      </c>
      <c r="X23" s="15">
        <v>0.543</v>
      </c>
      <c r="Y23" s="15">
        <v>0.5570000000000001</v>
      </c>
      <c r="Z23" s="17">
        <v>-0.014</v>
      </c>
      <c r="AA23" s="15">
        <v>0.625</v>
      </c>
      <c r="AB23" s="15">
        <v>0.637</v>
      </c>
      <c r="AC23" s="17">
        <v>-0.012</v>
      </c>
      <c r="AD23" s="15">
        <v>0.533</v>
      </c>
      <c r="AE23" s="15">
        <v>0.629</v>
      </c>
      <c r="AF23" s="17">
        <v>-0.096</v>
      </c>
      <c r="AG23" s="15">
        <v>0.473</v>
      </c>
      <c r="AH23" s="15">
        <v>0.588</v>
      </c>
      <c r="AI23" s="17">
        <v>-0.115</v>
      </c>
      <c r="AJ23" s="15">
        <v>0.448</v>
      </c>
      <c r="AK23" s="15">
        <v>0.581</v>
      </c>
      <c r="AL23" s="17">
        <v>-0.133</v>
      </c>
    </row>
    <row r="24" spans="1:38">
      <c r="A24" s="2" t="s">
        <v>138</v>
      </c>
      <c r="B24" s="2" t="s">
        <v>62</v>
      </c>
      <c r="C24" s="7">
        <v>0.341</v>
      </c>
      <c r="D24" s="7">
        <v>0.463</v>
      </c>
      <c r="E24" s="10">
        <v>-0.122</v>
      </c>
      <c r="F24" s="7"/>
      <c r="G24" s="7"/>
      <c r="H24" s="2"/>
      <c r="I24" s="7"/>
      <c r="J24" s="7"/>
      <c r="K24" s="2"/>
      <c r="L24" s="7">
        <v>0.512</v>
      </c>
      <c r="M24" s="7">
        <v>0.536</v>
      </c>
      <c r="N24" s="10">
        <v>-0.024</v>
      </c>
      <c r="O24" s="7">
        <v>0.537</v>
      </c>
      <c r="P24" s="7">
        <v>0.5610000000000001</v>
      </c>
      <c r="Q24" s="10">
        <v>-0.025</v>
      </c>
      <c r="R24" s="7"/>
      <c r="S24" s="7"/>
      <c r="T24" s="2"/>
      <c r="U24" s="7"/>
      <c r="V24" s="7"/>
      <c r="W24" s="2"/>
      <c r="X24" s="7">
        <v>0.39</v>
      </c>
      <c r="Y24" s="7">
        <v>0.609</v>
      </c>
      <c r="Z24" s="10">
        <v>-0.219</v>
      </c>
      <c r="AA24" s="7"/>
      <c r="AB24" s="7"/>
      <c r="AC24" s="2"/>
      <c r="AD24" s="7">
        <v>0.5610000000000001</v>
      </c>
      <c r="AE24" s="7">
        <v>0.629</v>
      </c>
      <c r="AF24" s="10">
        <v>-0.068</v>
      </c>
      <c r="AG24" s="7">
        <v>0.537</v>
      </c>
      <c r="AH24" s="7">
        <v>0.628</v>
      </c>
      <c r="AI24" s="10">
        <v>-0.091</v>
      </c>
      <c r="AJ24" s="7"/>
      <c r="AK24" s="7"/>
      <c r="AL24" s="2"/>
    </row>
    <row r="25" spans="1:38">
      <c r="A25" s="3" t="s">
        <v>138</v>
      </c>
      <c r="B25" s="3" t="s">
        <v>56</v>
      </c>
      <c r="C25" s="9">
        <v>0.512</v>
      </c>
      <c r="D25" s="9">
        <v>0.475</v>
      </c>
      <c r="E25" s="11">
        <v>0.038</v>
      </c>
      <c r="F25" s="9">
        <v>0.585</v>
      </c>
      <c r="G25" s="9">
        <v>0.57</v>
      </c>
      <c r="H25" s="11">
        <v>0.016</v>
      </c>
      <c r="I25" s="9">
        <v>0.463</v>
      </c>
      <c r="J25" s="9">
        <v>0.633</v>
      </c>
      <c r="K25" s="10">
        <v>-0.17</v>
      </c>
      <c r="L25" s="9"/>
      <c r="M25" s="9"/>
      <c r="N25" s="3"/>
      <c r="O25" s="9"/>
      <c r="P25" s="9"/>
      <c r="Q25" s="3"/>
      <c r="R25" s="9"/>
      <c r="S25" s="9"/>
      <c r="T25" s="3"/>
      <c r="U25" s="9"/>
      <c r="V25" s="9"/>
      <c r="W25" s="3"/>
      <c r="X25" s="9"/>
      <c r="Y25" s="9"/>
      <c r="Z25" s="3"/>
      <c r="AA25" s="9"/>
      <c r="AB25" s="9"/>
      <c r="AC25" s="3"/>
      <c r="AD25" s="9"/>
      <c r="AE25" s="9"/>
      <c r="AF25" s="3"/>
      <c r="AG25" s="9"/>
      <c r="AH25" s="9"/>
      <c r="AI25" s="3"/>
      <c r="AJ25" s="9"/>
      <c r="AK25" s="9"/>
      <c r="AL25" s="3"/>
    </row>
    <row r="26" spans="1:38">
      <c r="A26" s="2" t="s">
        <v>138</v>
      </c>
      <c r="B26" s="2" t="s">
        <v>54</v>
      </c>
      <c r="C26" s="7"/>
      <c r="D26" s="7"/>
      <c r="E26" s="2"/>
      <c r="F26" s="7"/>
      <c r="G26" s="7"/>
      <c r="H26" s="2"/>
      <c r="I26" s="7"/>
      <c r="J26" s="7"/>
      <c r="K26" s="2"/>
      <c r="L26" s="7"/>
      <c r="M26" s="7"/>
      <c r="N26" s="2"/>
      <c r="O26" s="7"/>
      <c r="P26" s="7"/>
      <c r="Q26" s="2"/>
      <c r="R26" s="7"/>
      <c r="S26" s="7"/>
      <c r="T26" s="2"/>
      <c r="U26" s="7"/>
      <c r="V26" s="7"/>
      <c r="W26" s="2"/>
      <c r="X26" s="7">
        <v>0.976</v>
      </c>
      <c r="Y26" s="7">
        <v>0.821</v>
      </c>
      <c r="Z26" s="11">
        <v>0.154</v>
      </c>
      <c r="AA26" s="7">
        <v>0.829</v>
      </c>
      <c r="AB26" s="7">
        <v>0.8120000000000001</v>
      </c>
      <c r="AC26" s="11">
        <v>0.017</v>
      </c>
      <c r="AD26" s="7">
        <v>0.646</v>
      </c>
      <c r="AE26" s="7">
        <v>0.795</v>
      </c>
      <c r="AF26" s="10">
        <v>-0.148</v>
      </c>
      <c r="AG26" s="7">
        <v>0.402</v>
      </c>
      <c r="AH26" s="7">
        <v>0.764</v>
      </c>
      <c r="AI26" s="10">
        <v>-0.362</v>
      </c>
      <c r="AJ26" s="7">
        <v>0.374</v>
      </c>
      <c r="AK26" s="7">
        <v>0.74</v>
      </c>
      <c r="AL26" s="10">
        <v>-0.366</v>
      </c>
    </row>
    <row r="27" spans="1:38">
      <c r="A27" s="3" t="s">
        <v>138</v>
      </c>
      <c r="B27" s="3" t="s">
        <v>63</v>
      </c>
      <c r="C27" s="9">
        <v>0.335</v>
      </c>
      <c r="D27" s="9">
        <v>0.396</v>
      </c>
      <c r="E27" s="10">
        <v>-0.06</v>
      </c>
      <c r="F27" s="9">
        <v>0.354</v>
      </c>
      <c r="G27" s="9">
        <v>0.425</v>
      </c>
      <c r="H27" s="10">
        <v>-0.07199999999999999</v>
      </c>
      <c r="I27" s="9">
        <v>0.378</v>
      </c>
      <c r="J27" s="9">
        <v>0.453</v>
      </c>
      <c r="K27" s="10">
        <v>-0.075</v>
      </c>
      <c r="L27" s="9">
        <v>0.429</v>
      </c>
      <c r="M27" s="9">
        <v>0.451</v>
      </c>
      <c r="N27" s="10">
        <v>-0.022</v>
      </c>
      <c r="O27" s="9">
        <v>0.5610000000000001</v>
      </c>
      <c r="P27" s="9">
        <v>0.47</v>
      </c>
      <c r="Q27" s="11">
        <v>0.091</v>
      </c>
      <c r="R27" s="9">
        <v>0.415</v>
      </c>
      <c r="S27" s="9">
        <v>0.479</v>
      </c>
      <c r="T27" s="10">
        <v>-0.064</v>
      </c>
      <c r="U27" s="9">
        <v>0.543</v>
      </c>
      <c r="V27" s="9">
        <v>0.504</v>
      </c>
      <c r="W27" s="11">
        <v>0.038</v>
      </c>
      <c r="X27" s="9">
        <v>0.366</v>
      </c>
      <c r="Y27" s="9">
        <v>0.503</v>
      </c>
      <c r="Z27" s="10">
        <v>-0.137</v>
      </c>
      <c r="AA27" s="9"/>
      <c r="AB27" s="9"/>
      <c r="AC27" s="3"/>
      <c r="AD27" s="9"/>
      <c r="AE27" s="9"/>
      <c r="AF27" s="3"/>
      <c r="AG27" s="9"/>
      <c r="AH27" s="9"/>
      <c r="AI27" s="3"/>
      <c r="AJ27" s="9">
        <v>0.61</v>
      </c>
      <c r="AK27" s="9">
        <v>0.518</v>
      </c>
      <c r="AL27" s="11">
        <v>0.092</v>
      </c>
    </row>
    <row r="28" spans="1:38">
      <c r="A28" s="2" t="s">
        <v>138</v>
      </c>
      <c r="B28" s="2" t="s">
        <v>64</v>
      </c>
      <c r="C28" s="7"/>
      <c r="D28" s="7"/>
      <c r="E28" s="2"/>
      <c r="F28" s="7"/>
      <c r="G28" s="7"/>
      <c r="H28" s="2"/>
      <c r="I28" s="7"/>
      <c r="J28" s="7"/>
      <c r="K28" s="2"/>
      <c r="L28" s="7"/>
      <c r="M28" s="7"/>
      <c r="N28" s="2"/>
      <c r="O28" s="7">
        <v>0.5610000000000001</v>
      </c>
      <c r="P28" s="7">
        <v>0.458</v>
      </c>
      <c r="Q28" s="11">
        <v>0.103</v>
      </c>
      <c r="R28" s="7">
        <v>0.5610000000000001</v>
      </c>
      <c r="S28" s="7">
        <v>0.467</v>
      </c>
      <c r="T28" s="11">
        <v>0.094</v>
      </c>
      <c r="U28" s="7">
        <v>0.634</v>
      </c>
      <c r="V28" s="7">
        <v>0.498</v>
      </c>
      <c r="W28" s="11">
        <v>0.136</v>
      </c>
      <c r="X28" s="7">
        <v>0.512</v>
      </c>
      <c r="Y28" s="7">
        <v>0.508</v>
      </c>
      <c r="Z28" s="11">
        <v>0.005</v>
      </c>
      <c r="AA28" s="7">
        <v>0.433</v>
      </c>
      <c r="AB28" s="7">
        <v>0.507</v>
      </c>
      <c r="AC28" s="10">
        <v>-0.074</v>
      </c>
      <c r="AD28" s="7">
        <v>0.354</v>
      </c>
      <c r="AE28" s="7">
        <v>0.498</v>
      </c>
      <c r="AF28" s="10">
        <v>-0.144</v>
      </c>
      <c r="AG28" s="7">
        <v>0.449</v>
      </c>
      <c r="AH28" s="7">
        <v>0.493</v>
      </c>
      <c r="AI28" s="10">
        <v>-0.044</v>
      </c>
      <c r="AJ28" s="7">
        <v>0.47</v>
      </c>
      <c r="AK28" s="7">
        <v>0.495</v>
      </c>
      <c r="AL28" s="10">
        <v>-0.025</v>
      </c>
    </row>
    <row r="29" spans="1:38">
      <c r="A29" s="3" t="s">
        <v>138</v>
      </c>
      <c r="B29" s="3" t="s">
        <v>59</v>
      </c>
      <c r="C29" s="9">
        <v>0.268</v>
      </c>
      <c r="D29" s="9">
        <v>0.268</v>
      </c>
      <c r="E29" s="11">
        <v>-0</v>
      </c>
      <c r="F29" s="9">
        <v>0.5610000000000001</v>
      </c>
      <c r="G29" s="9">
        <v>0.436</v>
      </c>
      <c r="H29" s="11">
        <v>0.125</v>
      </c>
      <c r="I29" s="9">
        <v>0.439</v>
      </c>
      <c r="J29" s="9">
        <v>0.463</v>
      </c>
      <c r="K29" s="10">
        <v>-0.024</v>
      </c>
      <c r="L29" s="9">
        <v>0.439</v>
      </c>
      <c r="M29" s="9">
        <v>0.457</v>
      </c>
      <c r="N29" s="10">
        <v>-0.018</v>
      </c>
      <c r="O29" s="9">
        <v>0.628</v>
      </c>
      <c r="P29" s="9">
        <v>0.505</v>
      </c>
      <c r="Q29" s="11">
        <v>0.123</v>
      </c>
      <c r="R29" s="9">
        <v>0.667</v>
      </c>
      <c r="S29" s="9">
        <v>0.538</v>
      </c>
      <c r="T29" s="11">
        <v>0.129</v>
      </c>
      <c r="U29" s="9">
        <v>0.5610000000000001</v>
      </c>
      <c r="V29" s="9">
        <v>0.55</v>
      </c>
      <c r="W29" s="11">
        <v>0.011</v>
      </c>
      <c r="X29" s="9">
        <v>0.618</v>
      </c>
      <c r="Y29" s="9">
        <v>0.5679999999999999</v>
      </c>
      <c r="Z29" s="11">
        <v>0.05</v>
      </c>
      <c r="AA29" s="9">
        <v>0.652</v>
      </c>
      <c r="AB29" s="9">
        <v>0.577</v>
      </c>
      <c r="AC29" s="11">
        <v>0.075</v>
      </c>
      <c r="AD29" s="9">
        <v>0.61</v>
      </c>
      <c r="AE29" s="9">
        <v>0.582</v>
      </c>
      <c r="AF29" s="11">
        <v>0.027</v>
      </c>
      <c r="AG29" s="9">
        <v>0.504</v>
      </c>
      <c r="AH29" s="9">
        <v>0.5679999999999999</v>
      </c>
      <c r="AI29" s="10">
        <v>-0.064</v>
      </c>
      <c r="AJ29" s="9">
        <v>0.439</v>
      </c>
      <c r="AK29" s="9">
        <v>0.5580000000000001</v>
      </c>
      <c r="AL29" s="10">
        <v>-0.119</v>
      </c>
    </row>
    <row r="30" spans="1:38">
      <c r="A30" s="2" t="s">
        <v>138</v>
      </c>
      <c r="B30" s="2" t="s">
        <v>61</v>
      </c>
      <c r="C30" s="7"/>
      <c r="D30" s="7"/>
      <c r="E30" s="2"/>
      <c r="F30" s="7"/>
      <c r="G30" s="7"/>
      <c r="H30" s="2"/>
      <c r="I30" s="7">
        <v>0.415</v>
      </c>
      <c r="J30" s="7">
        <v>0.552</v>
      </c>
      <c r="K30" s="10">
        <v>-0.138</v>
      </c>
      <c r="L30" s="7"/>
      <c r="M30" s="7"/>
      <c r="N30" s="2"/>
      <c r="O30" s="7"/>
      <c r="P30" s="7"/>
      <c r="Q30" s="2"/>
      <c r="R30" s="7"/>
      <c r="S30" s="7"/>
      <c r="T30" s="2"/>
      <c r="U30" s="7">
        <v>0.854</v>
      </c>
      <c r="V30" s="7">
        <v>0.674</v>
      </c>
      <c r="W30" s="11">
        <v>0.18</v>
      </c>
      <c r="X30" s="7"/>
      <c r="Y30" s="7"/>
      <c r="Z30" s="2"/>
      <c r="AA30" s="7">
        <v>0.463</v>
      </c>
      <c r="AB30" s="7">
        <v>0.6919999999999999</v>
      </c>
      <c r="AC30" s="10">
        <v>-0.228</v>
      </c>
      <c r="AD30" s="7"/>
      <c r="AE30" s="7"/>
      <c r="AF30" s="2"/>
      <c r="AG30" s="7">
        <v>0.512</v>
      </c>
      <c r="AH30" s="7">
        <v>0.6899999999999999</v>
      </c>
      <c r="AI30" s="10">
        <v>-0.178</v>
      </c>
      <c r="AJ30" s="7"/>
      <c r="AK30" s="7"/>
      <c r="AL30" s="2"/>
    </row>
    <row r="31" spans="1:38">
      <c r="A31" s="14" t="s">
        <v>146</v>
      </c>
      <c r="B31" s="14" t="s">
        <v>150</v>
      </c>
      <c r="C31" s="15"/>
      <c r="D31" s="15"/>
      <c r="E31" s="14"/>
      <c r="F31" s="15"/>
      <c r="G31" s="15"/>
      <c r="H31" s="14"/>
      <c r="I31" s="15"/>
      <c r="J31" s="15"/>
      <c r="K31" s="14"/>
      <c r="L31" s="15">
        <v>0.6830000000000001</v>
      </c>
      <c r="M31" s="15">
        <v>0.6899999999999999</v>
      </c>
      <c r="N31" s="17">
        <v>-0.007</v>
      </c>
      <c r="O31" s="15">
        <v>0.9350000000000001</v>
      </c>
      <c r="P31" s="15">
        <v>0.84</v>
      </c>
      <c r="Q31" s="16">
        <v>0.095</v>
      </c>
      <c r="R31" s="15">
        <v>0.992</v>
      </c>
      <c r="S31" s="15">
        <v>0.864</v>
      </c>
      <c r="T31" s="16">
        <v>0.128</v>
      </c>
      <c r="U31" s="15">
        <v>0.963</v>
      </c>
      <c r="V31" s="15">
        <v>0.886</v>
      </c>
      <c r="W31" s="16">
        <v>0.077</v>
      </c>
      <c r="X31" s="15">
        <v>0.976</v>
      </c>
      <c r="Y31" s="15">
        <v>0.89</v>
      </c>
      <c r="Z31" s="16">
        <v>0.08599999999999999</v>
      </c>
      <c r="AA31" s="15"/>
      <c r="AB31" s="15"/>
      <c r="AC31" s="14"/>
      <c r="AD31" s="15"/>
      <c r="AE31" s="15"/>
      <c r="AF31" s="14"/>
      <c r="AG31" s="15"/>
      <c r="AH31" s="15"/>
      <c r="AI31" s="14"/>
      <c r="AJ31" s="15"/>
      <c r="AK31" s="15"/>
      <c r="AL31" s="14"/>
    </row>
    <row r="32" spans="1:38">
      <c r="A32" s="2" t="s">
        <v>146</v>
      </c>
      <c r="B32" s="2" t="s">
        <v>126</v>
      </c>
      <c r="C32" s="7"/>
      <c r="D32" s="7"/>
      <c r="E32" s="2"/>
      <c r="F32" s="7"/>
      <c r="G32" s="7"/>
      <c r="H32" s="2"/>
      <c r="I32" s="7"/>
      <c r="J32" s="7"/>
      <c r="K32" s="2"/>
      <c r="L32" s="7"/>
      <c r="M32" s="7"/>
      <c r="N32" s="2"/>
      <c r="O32" s="7">
        <v>0.9350000000000001</v>
      </c>
      <c r="P32" s="7">
        <v>0.84</v>
      </c>
      <c r="Q32" s="11">
        <v>0.095</v>
      </c>
      <c r="R32" s="7">
        <v>0.992</v>
      </c>
      <c r="S32" s="7">
        <v>0.864</v>
      </c>
      <c r="T32" s="11">
        <v>0.128</v>
      </c>
      <c r="U32" s="7">
        <v>0.963</v>
      </c>
      <c r="V32" s="7">
        <v>0.886</v>
      </c>
      <c r="W32" s="11">
        <v>0.077</v>
      </c>
      <c r="X32" s="7">
        <v>0.976</v>
      </c>
      <c r="Y32" s="7">
        <v>0.89</v>
      </c>
      <c r="Z32" s="11">
        <v>0.08599999999999999</v>
      </c>
      <c r="AA32" s="7"/>
      <c r="AB32" s="7"/>
      <c r="AC32" s="2"/>
      <c r="AD32" s="7"/>
      <c r="AE32" s="7"/>
      <c r="AF32" s="2"/>
      <c r="AG32" s="7"/>
      <c r="AH32" s="7"/>
      <c r="AI32" s="2"/>
      <c r="AJ32" s="7"/>
      <c r="AK32" s="7"/>
      <c r="AL32" s="2"/>
    </row>
    <row r="33" spans="1:38">
      <c r="A33" s="14" t="s">
        <v>144</v>
      </c>
      <c r="B33" s="14" t="s">
        <v>150</v>
      </c>
      <c r="C33" s="15"/>
      <c r="D33" s="15"/>
      <c r="E33" s="14"/>
      <c r="F33" s="15"/>
      <c r="G33" s="15"/>
      <c r="H33" s="14"/>
      <c r="I33" s="15"/>
      <c r="J33" s="15"/>
      <c r="K33" s="14"/>
      <c r="L33" s="15"/>
      <c r="M33" s="15"/>
      <c r="N33" s="14"/>
      <c r="O33" s="15"/>
      <c r="P33" s="15"/>
      <c r="Q33" s="14"/>
      <c r="R33" s="15"/>
      <c r="S33" s="15"/>
      <c r="T33" s="14"/>
      <c r="U33" s="15"/>
      <c r="V33" s="15"/>
      <c r="W33" s="14"/>
      <c r="X33" s="15"/>
      <c r="Y33" s="15"/>
      <c r="Z33" s="14"/>
      <c r="AA33" s="15">
        <v>0.756</v>
      </c>
      <c r="AB33" s="15">
        <v>0.762</v>
      </c>
      <c r="AC33" s="17">
        <v>-0.006</v>
      </c>
      <c r="AD33" s="15">
        <v>0.671</v>
      </c>
      <c r="AE33" s="15">
        <v>0.741</v>
      </c>
      <c r="AF33" s="17">
        <v>-0.07000000000000001</v>
      </c>
      <c r="AG33" s="15">
        <v>0.599</v>
      </c>
      <c r="AH33" s="15">
        <v>0.718</v>
      </c>
      <c r="AI33" s="17">
        <v>-0.119</v>
      </c>
      <c r="AJ33" s="15">
        <v>0.46</v>
      </c>
      <c r="AK33" s="15">
        <v>0.712</v>
      </c>
      <c r="AL33" s="17">
        <v>-0.252</v>
      </c>
    </row>
    <row r="34" spans="1:38">
      <c r="A34" s="2" t="s">
        <v>144</v>
      </c>
      <c r="B34" s="2" t="s">
        <v>56</v>
      </c>
      <c r="C34" s="7"/>
      <c r="D34" s="7"/>
      <c r="E34" s="2"/>
      <c r="F34" s="7"/>
      <c r="G34" s="7"/>
      <c r="H34" s="2"/>
      <c r="I34" s="7"/>
      <c r="J34" s="7"/>
      <c r="K34" s="2"/>
      <c r="L34" s="7"/>
      <c r="M34" s="7"/>
      <c r="N34" s="2"/>
      <c r="O34" s="7"/>
      <c r="P34" s="7"/>
      <c r="Q34" s="2"/>
      <c r="R34" s="7"/>
      <c r="S34" s="7"/>
      <c r="T34" s="2"/>
      <c r="U34" s="7"/>
      <c r="V34" s="7"/>
      <c r="W34" s="2"/>
      <c r="X34" s="7"/>
      <c r="Y34" s="7"/>
      <c r="Z34" s="2"/>
      <c r="AA34" s="7">
        <v>0.756</v>
      </c>
      <c r="AB34" s="7">
        <v>0.762</v>
      </c>
      <c r="AC34" s="10">
        <v>-0.006</v>
      </c>
      <c r="AD34" s="7">
        <v>0.678</v>
      </c>
      <c r="AE34" s="7">
        <v>0.754</v>
      </c>
      <c r="AF34" s="10">
        <v>-0.076</v>
      </c>
      <c r="AG34" s="7">
        <v>0.585</v>
      </c>
      <c r="AH34" s="7">
        <v>0.737</v>
      </c>
      <c r="AI34" s="10">
        <v>-0.152</v>
      </c>
      <c r="AJ34" s="7">
        <v>0.46</v>
      </c>
      <c r="AK34" s="7">
        <v>0.712</v>
      </c>
      <c r="AL34" s="10">
        <v>-0.252</v>
      </c>
    </row>
    <row r="35" spans="1:38">
      <c r="A35" s="14" t="s">
        <v>147</v>
      </c>
      <c r="B35" s="14" t="s">
        <v>150</v>
      </c>
      <c r="C35" s="15">
        <v>0.54</v>
      </c>
      <c r="D35" s="15">
        <v>0.405</v>
      </c>
      <c r="E35" s="16">
        <v>0.135</v>
      </c>
      <c r="F35" s="15">
        <v>0.579</v>
      </c>
      <c r="G35" s="15">
        <v>0.546</v>
      </c>
      <c r="H35" s="16">
        <v>0.033</v>
      </c>
      <c r="I35" s="15">
        <v>0.736</v>
      </c>
      <c r="J35" s="15">
        <v>0.537</v>
      </c>
      <c r="K35" s="16">
        <v>0.198</v>
      </c>
      <c r="L35" s="15">
        <v>0.622</v>
      </c>
      <c r="M35" s="15">
        <v>0.569</v>
      </c>
      <c r="N35" s="16">
        <v>0.052</v>
      </c>
      <c r="O35" s="15">
        <v>0.786</v>
      </c>
      <c r="P35" s="15">
        <v>0.618</v>
      </c>
      <c r="Q35" s="16">
        <v>0.168</v>
      </c>
      <c r="R35" s="15">
        <v>0.75</v>
      </c>
      <c r="S35" s="15">
        <v>0.629</v>
      </c>
      <c r="T35" s="16">
        <v>0.121</v>
      </c>
      <c r="U35" s="15">
        <v>0.912</v>
      </c>
      <c r="V35" s="15">
        <v>0.71</v>
      </c>
      <c r="W35" s="16">
        <v>0.202</v>
      </c>
      <c r="X35" s="15">
        <v>0.773</v>
      </c>
      <c r="Y35" s="15">
        <v>0.716</v>
      </c>
      <c r="Z35" s="16">
        <v>0.057</v>
      </c>
      <c r="AA35" s="15"/>
      <c r="AB35" s="15"/>
      <c r="AC35" s="14"/>
      <c r="AD35" s="15"/>
      <c r="AE35" s="15"/>
      <c r="AF35" s="14"/>
      <c r="AG35" s="15"/>
      <c r="AH35" s="15"/>
      <c r="AI35" s="14"/>
      <c r="AJ35" s="15"/>
      <c r="AK35" s="15"/>
      <c r="AL35" s="14"/>
    </row>
    <row r="36" spans="1:38">
      <c r="A36" s="2" t="s">
        <v>147</v>
      </c>
      <c r="B36" s="2" t="s">
        <v>56</v>
      </c>
      <c r="C36" s="7">
        <v>0.642</v>
      </c>
      <c r="D36" s="7">
        <v>0.475</v>
      </c>
      <c r="E36" s="11">
        <v>0.168</v>
      </c>
      <c r="F36" s="7">
        <v>0.702</v>
      </c>
      <c r="G36" s="7">
        <v>0.57</v>
      </c>
      <c r="H36" s="11">
        <v>0.133</v>
      </c>
      <c r="I36" s="7">
        <v>0.89</v>
      </c>
      <c r="J36" s="7">
        <v>0.633</v>
      </c>
      <c r="K36" s="11">
        <v>0.257</v>
      </c>
      <c r="L36" s="7">
        <v>0.772</v>
      </c>
      <c r="M36" s="7">
        <v>0.649</v>
      </c>
      <c r="N36" s="11">
        <v>0.123</v>
      </c>
      <c r="O36" s="7">
        <v>0.915</v>
      </c>
      <c r="P36" s="7">
        <v>0.696</v>
      </c>
      <c r="Q36" s="11">
        <v>0.218</v>
      </c>
      <c r="R36" s="7">
        <v>0.821</v>
      </c>
      <c r="S36" s="7">
        <v>0.723</v>
      </c>
      <c r="T36" s="11">
        <v>0.098</v>
      </c>
      <c r="U36" s="7">
        <v>0.9350000000000001</v>
      </c>
      <c r="V36" s="7">
        <v>0.747</v>
      </c>
      <c r="W36" s="11">
        <v>0.188</v>
      </c>
      <c r="X36" s="7">
        <v>0.8149999999999999</v>
      </c>
      <c r="Y36" s="7">
        <v>0.763</v>
      </c>
      <c r="Z36" s="11">
        <v>0.051</v>
      </c>
      <c r="AA36" s="7"/>
      <c r="AB36" s="7"/>
      <c r="AC36" s="2"/>
      <c r="AD36" s="7"/>
      <c r="AE36" s="7"/>
      <c r="AF36" s="2"/>
      <c r="AG36" s="7"/>
      <c r="AH36" s="7"/>
      <c r="AI36" s="2"/>
      <c r="AJ36" s="7"/>
      <c r="AK36" s="7"/>
      <c r="AL36" s="2"/>
    </row>
    <row r="37" spans="1:38">
      <c r="A37" s="3" t="s">
        <v>147</v>
      </c>
      <c r="B37" s="3" t="s">
        <v>64</v>
      </c>
      <c r="C37" s="9">
        <v>0.366</v>
      </c>
      <c r="D37" s="9">
        <v>0.304</v>
      </c>
      <c r="E37" s="11">
        <v>0.062</v>
      </c>
      <c r="F37" s="9">
        <v>0.482</v>
      </c>
      <c r="G37" s="9">
        <v>0.4</v>
      </c>
      <c r="H37" s="11">
        <v>0.082</v>
      </c>
      <c r="I37" s="9">
        <v>0.5610000000000001</v>
      </c>
      <c r="J37" s="9">
        <v>0.447</v>
      </c>
      <c r="K37" s="11">
        <v>0.114</v>
      </c>
      <c r="L37" s="9">
        <v>0.496</v>
      </c>
      <c r="M37" s="9">
        <v>0.444</v>
      </c>
      <c r="N37" s="11">
        <v>0.052</v>
      </c>
      <c r="O37" s="9">
        <v>0.659</v>
      </c>
      <c r="P37" s="9">
        <v>0.458</v>
      </c>
      <c r="Q37" s="11">
        <v>0.201</v>
      </c>
      <c r="R37" s="9">
        <v>0.512</v>
      </c>
      <c r="S37" s="9">
        <v>0.467</v>
      </c>
      <c r="T37" s="11">
        <v>0.045</v>
      </c>
      <c r="U37" s="9">
        <v>0.976</v>
      </c>
      <c r="V37" s="9">
        <v>0.498</v>
      </c>
      <c r="W37" s="11">
        <v>0.477</v>
      </c>
      <c r="X37" s="9">
        <v>0.244</v>
      </c>
      <c r="Y37" s="9">
        <v>0.508</v>
      </c>
      <c r="Z37" s="10">
        <v>-0.264</v>
      </c>
      <c r="AA37" s="9"/>
      <c r="AB37" s="9"/>
      <c r="AC37" s="3"/>
      <c r="AD37" s="9"/>
      <c r="AE37" s="9"/>
      <c r="AF37" s="3"/>
      <c r="AG37" s="9"/>
      <c r="AH37" s="9"/>
      <c r="AI37" s="3"/>
      <c r="AJ37" s="9"/>
      <c r="AK37" s="9"/>
      <c r="AL37" s="3"/>
    </row>
    <row r="38" spans="1:38">
      <c r="A38" s="2" t="s">
        <v>147</v>
      </c>
      <c r="B38" s="2" t="s">
        <v>21</v>
      </c>
      <c r="C38" s="7"/>
      <c r="D38" s="7"/>
      <c r="E38" s="2"/>
      <c r="F38" s="7">
        <v>0.39</v>
      </c>
      <c r="G38" s="7">
        <v>0.726</v>
      </c>
      <c r="H38" s="10">
        <v>-0.336</v>
      </c>
      <c r="I38" s="7"/>
      <c r="J38" s="7"/>
      <c r="K38" s="2"/>
      <c r="L38" s="7">
        <v>0.78</v>
      </c>
      <c r="M38" s="7">
        <v>0.741</v>
      </c>
      <c r="N38" s="11">
        <v>0.039</v>
      </c>
      <c r="O38" s="7"/>
      <c r="P38" s="7"/>
      <c r="Q38" s="2"/>
      <c r="R38" s="7"/>
      <c r="S38" s="7"/>
      <c r="T38" s="2"/>
      <c r="U38" s="7">
        <v>0.878</v>
      </c>
      <c r="V38" s="7">
        <v>0.8070000000000001</v>
      </c>
      <c r="W38" s="11">
        <v>0.07199999999999999</v>
      </c>
      <c r="X38" s="7"/>
      <c r="Y38" s="7"/>
      <c r="Z38" s="2"/>
      <c r="AA38" s="7"/>
      <c r="AB38" s="7"/>
      <c r="AC38" s="2"/>
      <c r="AD38" s="7"/>
      <c r="AE38" s="7"/>
      <c r="AF38" s="2"/>
      <c r="AG38" s="7"/>
      <c r="AH38" s="7"/>
      <c r="AI38" s="2"/>
      <c r="AJ38" s="7"/>
      <c r="AK38" s="7"/>
      <c r="AL38" s="2"/>
    </row>
    <row r="39" spans="1:38">
      <c r="A39" s="3" t="s">
        <v>147</v>
      </c>
      <c r="B39" s="3" t="s">
        <v>126</v>
      </c>
      <c r="C39" s="9"/>
      <c r="D39" s="9"/>
      <c r="E39" s="3"/>
      <c r="F39" s="9">
        <v>0.537</v>
      </c>
      <c r="G39" s="9">
        <v>0.833</v>
      </c>
      <c r="H39" s="10">
        <v>-0.297</v>
      </c>
      <c r="I39" s="9"/>
      <c r="J39" s="9"/>
      <c r="K39" s="3"/>
      <c r="L39" s="9"/>
      <c r="M39" s="9"/>
      <c r="N39" s="3"/>
      <c r="O39" s="9">
        <v>0.902</v>
      </c>
      <c r="P39" s="9">
        <v>0.84</v>
      </c>
      <c r="Q39" s="11">
        <v>0.063</v>
      </c>
      <c r="R39" s="9"/>
      <c r="S39" s="9"/>
      <c r="T39" s="3"/>
      <c r="U39" s="9">
        <v>1</v>
      </c>
      <c r="V39" s="9">
        <v>0.886</v>
      </c>
      <c r="W39" s="11">
        <v>0.114</v>
      </c>
      <c r="X39" s="9"/>
      <c r="Y39" s="9"/>
      <c r="Z39" s="3"/>
      <c r="AA39" s="9"/>
      <c r="AB39" s="9"/>
      <c r="AC39" s="3"/>
      <c r="AD39" s="9"/>
      <c r="AE39" s="9"/>
      <c r="AF39" s="3"/>
      <c r="AG39" s="9"/>
      <c r="AH39" s="9"/>
      <c r="AI39" s="3"/>
      <c r="AJ39" s="9"/>
      <c r="AK39" s="9"/>
      <c r="AL39" s="3"/>
    </row>
    <row r="40" spans="1:38">
      <c r="A40" s="14" t="s">
        <v>140</v>
      </c>
      <c r="B40" s="14" t="s">
        <v>150</v>
      </c>
      <c r="C40" s="15">
        <v>0.454</v>
      </c>
      <c r="D40" s="15">
        <v>0.494</v>
      </c>
      <c r="E40" s="17">
        <v>-0.041</v>
      </c>
      <c r="F40" s="15">
        <v>0.512</v>
      </c>
      <c r="G40" s="15">
        <v>0.532</v>
      </c>
      <c r="H40" s="17">
        <v>-0.019</v>
      </c>
      <c r="I40" s="15">
        <v>0.488</v>
      </c>
      <c r="J40" s="15">
        <v>0.535</v>
      </c>
      <c r="K40" s="17">
        <v>-0.048</v>
      </c>
      <c r="L40" s="15">
        <v>0.484</v>
      </c>
      <c r="M40" s="15">
        <v>0.54</v>
      </c>
      <c r="N40" s="17">
        <v>-0.056</v>
      </c>
      <c r="O40" s="15">
        <v>0.64</v>
      </c>
      <c r="P40" s="15">
        <v>0.5610000000000001</v>
      </c>
      <c r="Q40" s="16">
        <v>0.079</v>
      </c>
      <c r="R40" s="15">
        <v>0.839</v>
      </c>
      <c r="S40" s="15">
        <v>0.615</v>
      </c>
      <c r="T40" s="16">
        <v>0.224</v>
      </c>
      <c r="U40" s="15">
        <v>0.805</v>
      </c>
      <c r="V40" s="15">
        <v>0.611</v>
      </c>
      <c r="W40" s="16">
        <v>0.194</v>
      </c>
      <c r="X40" s="15">
        <v>0.5570000000000001</v>
      </c>
      <c r="Y40" s="15">
        <v>0.623</v>
      </c>
      <c r="Z40" s="17">
        <v>-0.066</v>
      </c>
      <c r="AA40" s="15">
        <v>0.624</v>
      </c>
      <c r="AB40" s="15">
        <v>0.657</v>
      </c>
      <c r="AC40" s="17">
        <v>-0.032</v>
      </c>
      <c r="AD40" s="15">
        <v>0.724</v>
      </c>
      <c r="AE40" s="15">
        <v>0.667</v>
      </c>
      <c r="AF40" s="16">
        <v>0.056</v>
      </c>
      <c r="AG40" s="15">
        <v>0.715</v>
      </c>
      <c r="AH40" s="15">
        <v>0.674</v>
      </c>
      <c r="AI40" s="16">
        <v>0.041</v>
      </c>
      <c r="AJ40" s="15">
        <v>0.447</v>
      </c>
      <c r="AK40" s="15">
        <v>0.659</v>
      </c>
      <c r="AL40" s="17">
        <v>-0.212</v>
      </c>
    </row>
    <row r="41" spans="1:38">
      <c r="A41" s="3" t="s">
        <v>140</v>
      </c>
      <c r="B41" s="3" t="s">
        <v>62</v>
      </c>
      <c r="C41" s="9">
        <v>0.463</v>
      </c>
      <c r="D41" s="9">
        <v>0.463</v>
      </c>
      <c r="E41" s="11">
        <v>0</v>
      </c>
      <c r="F41" s="9">
        <v>0.434</v>
      </c>
      <c r="G41" s="9">
        <v>0.493</v>
      </c>
      <c r="H41" s="10">
        <v>-0.059</v>
      </c>
      <c r="I41" s="9">
        <v>0.5</v>
      </c>
      <c r="J41" s="9">
        <v>0.527</v>
      </c>
      <c r="K41" s="10">
        <v>-0.027</v>
      </c>
      <c r="L41" s="9">
        <v>0.506</v>
      </c>
      <c r="M41" s="9">
        <v>0.536</v>
      </c>
      <c r="N41" s="10">
        <v>-0.03</v>
      </c>
      <c r="O41" s="9">
        <v>0.64</v>
      </c>
      <c r="P41" s="9">
        <v>0.5610000000000001</v>
      </c>
      <c r="Q41" s="11">
        <v>0.079</v>
      </c>
      <c r="R41" s="9">
        <v>0.841</v>
      </c>
      <c r="S41" s="9">
        <v>0.584</v>
      </c>
      <c r="T41" s="11">
        <v>0.257</v>
      </c>
      <c r="U41" s="9">
        <v>0.805</v>
      </c>
      <c r="V41" s="9">
        <v>0.611</v>
      </c>
      <c r="W41" s="11">
        <v>0.194</v>
      </c>
      <c r="X41" s="9">
        <v>0.5610000000000001</v>
      </c>
      <c r="Y41" s="9">
        <v>0.609</v>
      </c>
      <c r="Z41" s="10">
        <v>-0.048</v>
      </c>
      <c r="AA41" s="9">
        <v>0.677</v>
      </c>
      <c r="AB41" s="9">
        <v>0.618</v>
      </c>
      <c r="AC41" s="11">
        <v>0.059</v>
      </c>
      <c r="AD41" s="9">
        <v>0.72</v>
      </c>
      <c r="AE41" s="9">
        <v>0.629</v>
      </c>
      <c r="AF41" s="11">
        <v>0.09</v>
      </c>
      <c r="AG41" s="9">
        <v>0.634</v>
      </c>
      <c r="AH41" s="9">
        <v>0.628</v>
      </c>
      <c r="AI41" s="11">
        <v>0.007</v>
      </c>
      <c r="AJ41" s="9">
        <v>0.488</v>
      </c>
      <c r="AK41" s="9">
        <v>0.625</v>
      </c>
      <c r="AL41" s="10">
        <v>-0.137</v>
      </c>
    </row>
    <row r="42" spans="1:38">
      <c r="A42" s="2" t="s">
        <v>140</v>
      </c>
      <c r="B42" s="2" t="s">
        <v>21</v>
      </c>
      <c r="C42" s="7">
        <v>0.415</v>
      </c>
      <c r="D42" s="7">
        <v>0.618</v>
      </c>
      <c r="E42" s="10">
        <v>-0.203</v>
      </c>
      <c r="F42" s="7">
        <v>0.902</v>
      </c>
      <c r="G42" s="7">
        <v>0.726</v>
      </c>
      <c r="H42" s="11">
        <v>0.176</v>
      </c>
      <c r="I42" s="7"/>
      <c r="J42" s="7"/>
      <c r="K42" s="2"/>
      <c r="L42" s="7"/>
      <c r="M42" s="7"/>
      <c r="N42" s="2"/>
      <c r="O42" s="7"/>
      <c r="P42" s="7"/>
      <c r="Q42" s="2"/>
      <c r="R42" s="7"/>
      <c r="S42" s="7"/>
      <c r="T42" s="2"/>
      <c r="U42" s="7"/>
      <c r="V42" s="7"/>
      <c r="W42" s="2"/>
      <c r="X42" s="7">
        <v>0.6830000000000001</v>
      </c>
      <c r="Y42" s="7">
        <v>0.8139999999999999</v>
      </c>
      <c r="Z42" s="10">
        <v>-0.131</v>
      </c>
      <c r="AA42" s="7">
        <v>0.415</v>
      </c>
      <c r="AB42" s="7">
        <v>0.8100000000000001</v>
      </c>
      <c r="AC42" s="10">
        <v>-0.395</v>
      </c>
      <c r="AD42" s="7"/>
      <c r="AE42" s="7"/>
      <c r="AF42" s="2"/>
      <c r="AG42" s="7"/>
      <c r="AH42" s="7"/>
      <c r="AI42" s="2"/>
      <c r="AJ42" s="7"/>
      <c r="AK42" s="7"/>
      <c r="AL42" s="2"/>
    </row>
    <row r="43" spans="1:38">
      <c r="A43" s="14" t="s">
        <v>137</v>
      </c>
      <c r="B43" s="14" t="s">
        <v>150</v>
      </c>
      <c r="C43" s="15">
        <v>0.58</v>
      </c>
      <c r="D43" s="15">
        <v>0.509</v>
      </c>
      <c r="E43" s="16">
        <v>0.07099999999999999</v>
      </c>
      <c r="F43" s="15">
        <v>0.667</v>
      </c>
      <c r="G43" s="15">
        <v>0.526</v>
      </c>
      <c r="H43" s="16">
        <v>0.14</v>
      </c>
      <c r="I43" s="15">
        <v>0.613</v>
      </c>
      <c r="J43" s="15">
        <v>0.58</v>
      </c>
      <c r="K43" s="16">
        <v>0.033</v>
      </c>
      <c r="L43" s="15">
        <v>0.656</v>
      </c>
      <c r="M43" s="15">
        <v>0.601</v>
      </c>
      <c r="N43" s="16">
        <v>0.055</v>
      </c>
      <c r="O43" s="15">
        <v>0.738</v>
      </c>
      <c r="P43" s="15">
        <v>0.6</v>
      </c>
      <c r="Q43" s="16">
        <v>0.138</v>
      </c>
      <c r="R43" s="15">
        <v>0.654</v>
      </c>
      <c r="S43" s="15">
        <v>0.633</v>
      </c>
      <c r="T43" s="16">
        <v>0.022</v>
      </c>
      <c r="U43" s="15">
        <v>0.772</v>
      </c>
      <c r="V43" s="15">
        <v>0.642</v>
      </c>
      <c r="W43" s="16">
        <v>0.13</v>
      </c>
      <c r="X43" s="15">
        <v>0.717</v>
      </c>
      <c r="Y43" s="15">
        <v>0.637</v>
      </c>
      <c r="Z43" s="16">
        <v>0.08</v>
      </c>
      <c r="AA43" s="15">
        <v>0.6850000000000001</v>
      </c>
      <c r="AB43" s="15">
        <v>0.677</v>
      </c>
      <c r="AC43" s="16">
        <v>0.008</v>
      </c>
      <c r="AD43" s="15">
        <v>0.725</v>
      </c>
      <c r="AE43" s="15">
        <v>0.665</v>
      </c>
      <c r="AF43" s="16">
        <v>0.06</v>
      </c>
      <c r="AG43" s="15">
        <v>0.721</v>
      </c>
      <c r="AH43" s="15">
        <v>0.663</v>
      </c>
      <c r="AI43" s="16">
        <v>0.058</v>
      </c>
      <c r="AJ43" s="15">
        <v>0.583</v>
      </c>
      <c r="AK43" s="15">
        <v>0.6830000000000001</v>
      </c>
      <c r="AL43" s="17">
        <v>-0.1</v>
      </c>
    </row>
    <row r="44" spans="1:38">
      <c r="A44" s="2" t="s">
        <v>137</v>
      </c>
      <c r="B44" s="2" t="s">
        <v>62</v>
      </c>
      <c r="C44" s="7">
        <v>0.494</v>
      </c>
      <c r="D44" s="7">
        <v>0.463</v>
      </c>
      <c r="E44" s="11">
        <v>0.03</v>
      </c>
      <c r="F44" s="7">
        <v>0.571</v>
      </c>
      <c r="G44" s="7">
        <v>0.493</v>
      </c>
      <c r="H44" s="11">
        <v>0.078</v>
      </c>
      <c r="I44" s="7">
        <v>0.665</v>
      </c>
      <c r="J44" s="7">
        <v>0.527</v>
      </c>
      <c r="K44" s="11">
        <v>0.138</v>
      </c>
      <c r="L44" s="7">
        <v>0.463</v>
      </c>
      <c r="M44" s="7">
        <v>0.536</v>
      </c>
      <c r="N44" s="10">
        <v>-0.073</v>
      </c>
      <c r="O44" s="7">
        <v>0.591</v>
      </c>
      <c r="P44" s="7">
        <v>0.5610000000000001</v>
      </c>
      <c r="Q44" s="11">
        <v>0.03</v>
      </c>
      <c r="R44" s="7">
        <v>0.549</v>
      </c>
      <c r="S44" s="7">
        <v>0.584</v>
      </c>
      <c r="T44" s="10">
        <v>-0.036</v>
      </c>
      <c r="U44" s="7">
        <v>0.6909999999999999</v>
      </c>
      <c r="V44" s="7">
        <v>0.611</v>
      </c>
      <c r="W44" s="11">
        <v>0.08</v>
      </c>
      <c r="X44" s="7">
        <v>0.644</v>
      </c>
      <c r="Y44" s="7">
        <v>0.609</v>
      </c>
      <c r="Z44" s="11">
        <v>0.035</v>
      </c>
      <c r="AA44" s="7">
        <v>0.652</v>
      </c>
      <c r="AB44" s="7">
        <v>0.618</v>
      </c>
      <c r="AC44" s="11">
        <v>0.034</v>
      </c>
      <c r="AD44" s="7">
        <v>0.738</v>
      </c>
      <c r="AE44" s="7">
        <v>0.629</v>
      </c>
      <c r="AF44" s="11">
        <v>0.109</v>
      </c>
      <c r="AG44" s="7">
        <v>0.699</v>
      </c>
      <c r="AH44" s="7">
        <v>0.628</v>
      </c>
      <c r="AI44" s="11">
        <v>0.07199999999999999</v>
      </c>
      <c r="AJ44" s="7">
        <v>0.618</v>
      </c>
      <c r="AK44" s="7">
        <v>0.625</v>
      </c>
      <c r="AL44" s="10">
        <v>-0.007</v>
      </c>
    </row>
    <row r="45" spans="1:38">
      <c r="A45" s="3" t="s">
        <v>137</v>
      </c>
      <c r="B45" s="3" t="s">
        <v>60</v>
      </c>
      <c r="C45" s="9"/>
      <c r="D45" s="9"/>
      <c r="E45" s="3"/>
      <c r="F45" s="9"/>
      <c r="G45" s="9"/>
      <c r="H45" s="3"/>
      <c r="I45" s="9">
        <v>0.463</v>
      </c>
      <c r="J45" s="9">
        <v>0.57</v>
      </c>
      <c r="K45" s="10">
        <v>-0.107</v>
      </c>
      <c r="L45" s="9"/>
      <c r="M45" s="9"/>
      <c r="N45" s="3"/>
      <c r="O45" s="9">
        <v>0.902</v>
      </c>
      <c r="P45" s="9">
        <v>0.642</v>
      </c>
      <c r="Q45" s="11">
        <v>0.261</v>
      </c>
      <c r="R45" s="9"/>
      <c r="S45" s="9"/>
      <c r="T45" s="3"/>
      <c r="U45" s="9"/>
      <c r="V45" s="9"/>
      <c r="W45" s="3"/>
      <c r="X45" s="9"/>
      <c r="Y45" s="9"/>
      <c r="Z45" s="3"/>
      <c r="AA45" s="9">
        <v>0.537</v>
      </c>
      <c r="AB45" s="9">
        <v>0.732</v>
      </c>
      <c r="AC45" s="10">
        <v>-0.196</v>
      </c>
      <c r="AD45" s="9"/>
      <c r="AE45" s="9"/>
      <c r="AF45" s="3"/>
      <c r="AG45" s="9"/>
      <c r="AH45" s="9"/>
      <c r="AI45" s="3"/>
      <c r="AJ45" s="9"/>
      <c r="AK45" s="9"/>
      <c r="AL45" s="3"/>
    </row>
    <row r="46" spans="1:38">
      <c r="A46" s="2" t="s">
        <v>137</v>
      </c>
      <c r="B46" s="2" t="s">
        <v>21</v>
      </c>
      <c r="C46" s="7">
        <v>0.668</v>
      </c>
      <c r="D46" s="7">
        <v>0.618</v>
      </c>
      <c r="E46" s="11">
        <v>0.05</v>
      </c>
      <c r="F46" s="7">
        <v>0.878</v>
      </c>
      <c r="G46" s="7">
        <v>0.726</v>
      </c>
      <c r="H46" s="11">
        <v>0.152</v>
      </c>
      <c r="I46" s="7">
        <v>0.593</v>
      </c>
      <c r="J46" s="7">
        <v>0.74</v>
      </c>
      <c r="K46" s="10">
        <v>-0.147</v>
      </c>
      <c r="L46" s="7">
        <v>0.756</v>
      </c>
      <c r="M46" s="7">
        <v>0.741</v>
      </c>
      <c r="N46" s="11">
        <v>0.015</v>
      </c>
      <c r="O46" s="7"/>
      <c r="P46" s="7"/>
      <c r="Q46" s="2"/>
      <c r="R46" s="7"/>
      <c r="S46" s="7"/>
      <c r="T46" s="2"/>
      <c r="U46" s="7"/>
      <c r="V46" s="7"/>
      <c r="W46" s="2"/>
      <c r="X46" s="7"/>
      <c r="Y46" s="7"/>
      <c r="Z46" s="2"/>
      <c r="AA46" s="7"/>
      <c r="AB46" s="7"/>
      <c r="AC46" s="2"/>
      <c r="AD46" s="7"/>
      <c r="AE46" s="7"/>
      <c r="AF46" s="2"/>
      <c r="AG46" s="7"/>
      <c r="AH46" s="7"/>
      <c r="AI46" s="2"/>
      <c r="AJ46" s="7">
        <v>0.293</v>
      </c>
      <c r="AK46" s="7">
        <v>0.768</v>
      </c>
      <c r="AL46" s="10">
        <v>-0.475</v>
      </c>
    </row>
    <row r="47" spans="1:38">
      <c r="A47" s="3" t="s">
        <v>137</v>
      </c>
      <c r="B47" s="3" t="s">
        <v>61</v>
      </c>
      <c r="C47" s="9">
        <v>0.423</v>
      </c>
      <c r="D47" s="9">
        <v>0.38</v>
      </c>
      <c r="E47" s="11">
        <v>0.043</v>
      </c>
      <c r="F47" s="9">
        <v>0.628</v>
      </c>
      <c r="G47" s="9">
        <v>0.48</v>
      </c>
      <c r="H47" s="11">
        <v>0.148</v>
      </c>
      <c r="I47" s="9">
        <v>0.663</v>
      </c>
      <c r="J47" s="9">
        <v>0.552</v>
      </c>
      <c r="K47" s="11">
        <v>0.111</v>
      </c>
      <c r="L47" s="9">
        <v>0.695</v>
      </c>
      <c r="M47" s="9">
        <v>0.574</v>
      </c>
      <c r="N47" s="11">
        <v>0.121</v>
      </c>
      <c r="O47" s="9">
        <v>0.854</v>
      </c>
      <c r="P47" s="9">
        <v>0.642</v>
      </c>
      <c r="Q47" s="11">
        <v>0.212</v>
      </c>
      <c r="R47" s="9">
        <v>0.707</v>
      </c>
      <c r="S47" s="9">
        <v>0.657</v>
      </c>
      <c r="T47" s="11">
        <v>0.051</v>
      </c>
      <c r="U47" s="9">
        <v>0.854</v>
      </c>
      <c r="V47" s="9">
        <v>0.674</v>
      </c>
      <c r="W47" s="11">
        <v>0.18</v>
      </c>
      <c r="X47" s="9">
        <v>0.756</v>
      </c>
      <c r="Y47" s="9">
        <v>0.6889999999999999</v>
      </c>
      <c r="Z47" s="11">
        <v>0.067</v>
      </c>
      <c r="AA47" s="9">
        <v>0.797</v>
      </c>
      <c r="AB47" s="9">
        <v>0.6919999999999999</v>
      </c>
      <c r="AC47" s="11">
        <v>0.105</v>
      </c>
      <c r="AD47" s="9">
        <v>0.756</v>
      </c>
      <c r="AE47" s="9">
        <v>0.6919999999999999</v>
      </c>
      <c r="AF47" s="11">
        <v>0.064</v>
      </c>
      <c r="AG47" s="9">
        <v>0.738</v>
      </c>
      <c r="AH47" s="9">
        <v>0.6899999999999999</v>
      </c>
      <c r="AI47" s="11">
        <v>0.048</v>
      </c>
      <c r="AJ47" s="9">
        <v>0.616</v>
      </c>
      <c r="AK47" s="9">
        <v>0.6860000000000001</v>
      </c>
      <c r="AL47" s="10">
        <v>-0.07000000000000001</v>
      </c>
    </row>
    <row r="48" spans="1:38">
      <c r="A48" s="2" t="s">
        <v>137</v>
      </c>
      <c r="B48" s="2" t="s">
        <v>58</v>
      </c>
      <c r="C48" s="7">
        <v>0.951</v>
      </c>
      <c r="D48" s="7">
        <v>0.537</v>
      </c>
      <c r="E48" s="11">
        <v>0.415</v>
      </c>
      <c r="F48" s="7"/>
      <c r="G48" s="7"/>
      <c r="H48" s="2"/>
      <c r="I48" s="7"/>
      <c r="J48" s="7"/>
      <c r="K48" s="2"/>
      <c r="L48" s="7">
        <v>0.805</v>
      </c>
      <c r="M48" s="7">
        <v>0.666</v>
      </c>
      <c r="N48" s="11">
        <v>0.139</v>
      </c>
      <c r="O48" s="7"/>
      <c r="P48" s="7"/>
      <c r="Q48" s="2"/>
      <c r="R48" s="7"/>
      <c r="S48" s="7"/>
      <c r="T48" s="2"/>
      <c r="U48" s="7"/>
      <c r="V48" s="7"/>
      <c r="W48" s="2"/>
      <c r="X48" s="7"/>
      <c r="Y48" s="7"/>
      <c r="Z48" s="2"/>
      <c r="AA48" s="7"/>
      <c r="AB48" s="7"/>
      <c r="AC48" s="2"/>
      <c r="AD48" s="7">
        <v>0.61</v>
      </c>
      <c r="AE48" s="7">
        <v>0.751</v>
      </c>
      <c r="AF48" s="10">
        <v>-0.141</v>
      </c>
      <c r="AG48" s="7"/>
      <c r="AH48" s="7"/>
      <c r="AI48" s="2"/>
      <c r="AJ48" s="7">
        <v>0.61</v>
      </c>
      <c r="AK48" s="7">
        <v>0.724</v>
      </c>
      <c r="AL48" s="10">
        <v>-0.114</v>
      </c>
    </row>
    <row r="49" spans="1:38">
      <c r="A49" s="14" t="s">
        <v>136</v>
      </c>
      <c r="B49" s="14" t="s">
        <v>150</v>
      </c>
      <c r="C49" s="15">
        <v>0.451</v>
      </c>
      <c r="D49" s="15">
        <v>0.489</v>
      </c>
      <c r="E49" s="17">
        <v>-0.038</v>
      </c>
      <c r="F49" s="15">
        <v>0.544</v>
      </c>
      <c r="G49" s="15">
        <v>0.516</v>
      </c>
      <c r="H49" s="16">
        <v>0.028</v>
      </c>
      <c r="I49" s="15">
        <v>0.64</v>
      </c>
      <c r="J49" s="15">
        <v>0.5649999999999999</v>
      </c>
      <c r="K49" s="16">
        <v>0.076</v>
      </c>
      <c r="L49" s="15">
        <v>0.506</v>
      </c>
      <c r="M49" s="15">
        <v>0.505</v>
      </c>
      <c r="N49" s="16">
        <v>0.001</v>
      </c>
      <c r="O49" s="15">
        <v>0.671</v>
      </c>
      <c r="P49" s="15">
        <v>0.555</v>
      </c>
      <c r="Q49" s="16">
        <v>0.115</v>
      </c>
      <c r="R49" s="15">
        <v>0.6919999999999999</v>
      </c>
      <c r="S49" s="15">
        <v>0.614</v>
      </c>
      <c r="T49" s="16">
        <v>0.078</v>
      </c>
      <c r="U49" s="15">
        <v>0.72</v>
      </c>
      <c r="V49" s="15">
        <v>0.641</v>
      </c>
      <c r="W49" s="16">
        <v>0.079</v>
      </c>
      <c r="X49" s="15">
        <v>0.672</v>
      </c>
      <c r="Y49" s="15">
        <v>0.603</v>
      </c>
      <c r="Z49" s="16">
        <v>0.06900000000000001</v>
      </c>
      <c r="AA49" s="15">
        <v>0.707</v>
      </c>
      <c r="AB49" s="15">
        <v>0.638</v>
      </c>
      <c r="AC49" s="16">
        <v>0.06900000000000001</v>
      </c>
      <c r="AD49" s="15">
        <v>0.761</v>
      </c>
      <c r="AE49" s="15">
        <v>0.66</v>
      </c>
      <c r="AF49" s="16">
        <v>0.101</v>
      </c>
      <c r="AG49" s="15">
        <v>0.445</v>
      </c>
      <c r="AH49" s="15">
        <v>0.572</v>
      </c>
      <c r="AI49" s="17">
        <v>-0.127</v>
      </c>
      <c r="AJ49" s="15">
        <v>0.512</v>
      </c>
      <c r="AK49" s="15">
        <v>0.587</v>
      </c>
      <c r="AL49" s="17">
        <v>-0.074</v>
      </c>
    </row>
    <row r="50" spans="1:38">
      <c r="A50" s="2" t="s">
        <v>136</v>
      </c>
      <c r="B50" s="2" t="s">
        <v>54</v>
      </c>
      <c r="C50" s="7">
        <v>0.732</v>
      </c>
      <c r="D50" s="7">
        <v>0.697</v>
      </c>
      <c r="E50" s="11">
        <v>0.035</v>
      </c>
      <c r="F50" s="7"/>
      <c r="G50" s="7"/>
      <c r="H50" s="2"/>
      <c r="I50" s="7">
        <v>0.927</v>
      </c>
      <c r="J50" s="7">
        <v>0.755</v>
      </c>
      <c r="K50" s="11">
        <v>0.172</v>
      </c>
      <c r="L50" s="7"/>
      <c r="M50" s="7"/>
      <c r="N50" s="2"/>
      <c r="O50" s="7"/>
      <c r="P50" s="7"/>
      <c r="Q50" s="2"/>
      <c r="R50" s="7">
        <v>0.634</v>
      </c>
      <c r="S50" s="7">
        <v>0.782</v>
      </c>
      <c r="T50" s="10">
        <v>-0.148</v>
      </c>
      <c r="U50" s="7"/>
      <c r="V50" s="7"/>
      <c r="W50" s="2"/>
      <c r="X50" s="7"/>
      <c r="Y50" s="7"/>
      <c r="Z50" s="2"/>
      <c r="AA50" s="7"/>
      <c r="AB50" s="7"/>
      <c r="AC50" s="2"/>
      <c r="AD50" s="7"/>
      <c r="AE50" s="7"/>
      <c r="AF50" s="2"/>
      <c r="AG50" s="7"/>
      <c r="AH50" s="7"/>
      <c r="AI50" s="2"/>
      <c r="AJ50" s="7"/>
      <c r="AK50" s="7"/>
      <c r="AL50" s="2"/>
    </row>
    <row r="51" spans="1:38">
      <c r="A51" s="3" t="s">
        <v>136</v>
      </c>
      <c r="B51" s="3" t="s">
        <v>63</v>
      </c>
      <c r="C51" s="9">
        <v>0.433</v>
      </c>
      <c r="D51" s="9">
        <v>0.396</v>
      </c>
      <c r="E51" s="11">
        <v>0.037</v>
      </c>
      <c r="F51" s="9">
        <v>0.537</v>
      </c>
      <c r="G51" s="9">
        <v>0.425</v>
      </c>
      <c r="H51" s="11">
        <v>0.111</v>
      </c>
      <c r="I51" s="9">
        <v>0.579</v>
      </c>
      <c r="J51" s="9">
        <v>0.453</v>
      </c>
      <c r="K51" s="11">
        <v>0.126</v>
      </c>
      <c r="L51" s="9">
        <v>0.472</v>
      </c>
      <c r="M51" s="9">
        <v>0.451</v>
      </c>
      <c r="N51" s="11">
        <v>0.02</v>
      </c>
      <c r="O51" s="9">
        <v>0.53</v>
      </c>
      <c r="P51" s="9">
        <v>0.47</v>
      </c>
      <c r="Q51" s="11">
        <v>0.06</v>
      </c>
      <c r="R51" s="9">
        <v>0.555</v>
      </c>
      <c r="S51" s="9">
        <v>0.479</v>
      </c>
      <c r="T51" s="11">
        <v>0.076</v>
      </c>
      <c r="U51" s="9">
        <v>0.642</v>
      </c>
      <c r="V51" s="9">
        <v>0.504</v>
      </c>
      <c r="W51" s="11">
        <v>0.138</v>
      </c>
      <c r="X51" s="9">
        <v>0.549</v>
      </c>
      <c r="Y51" s="9">
        <v>0.503</v>
      </c>
      <c r="Z51" s="11">
        <v>0.046</v>
      </c>
      <c r="AA51" s="9">
        <v>0.626</v>
      </c>
      <c r="AB51" s="9">
        <v>0.519</v>
      </c>
      <c r="AC51" s="11">
        <v>0.107</v>
      </c>
      <c r="AD51" s="9">
        <v>0.756</v>
      </c>
      <c r="AE51" s="9">
        <v>0.523</v>
      </c>
      <c r="AF51" s="11">
        <v>0.233</v>
      </c>
      <c r="AG51" s="9">
        <v>0.423</v>
      </c>
      <c r="AH51" s="9">
        <v>0.517</v>
      </c>
      <c r="AI51" s="10">
        <v>-0.095</v>
      </c>
      <c r="AJ51" s="9">
        <v>0.433</v>
      </c>
      <c r="AK51" s="9">
        <v>0.518</v>
      </c>
      <c r="AL51" s="10">
        <v>-0.08500000000000001</v>
      </c>
    </row>
    <row r="52" spans="1:38">
      <c r="A52" s="2" t="s">
        <v>136</v>
      </c>
      <c r="B52" s="2" t="s">
        <v>58</v>
      </c>
      <c r="C52" s="7">
        <v>0.415</v>
      </c>
      <c r="D52" s="7">
        <v>0.537</v>
      </c>
      <c r="E52" s="10">
        <v>-0.122</v>
      </c>
      <c r="F52" s="7">
        <v>0.626</v>
      </c>
      <c r="G52" s="7">
        <v>0.637</v>
      </c>
      <c r="H52" s="10">
        <v>-0.011</v>
      </c>
      <c r="I52" s="7">
        <v>0.626</v>
      </c>
      <c r="J52" s="7">
        <v>0.65</v>
      </c>
      <c r="K52" s="10">
        <v>-0.024</v>
      </c>
      <c r="L52" s="7">
        <v>0.61</v>
      </c>
      <c r="M52" s="7">
        <v>0.666</v>
      </c>
      <c r="N52" s="10">
        <v>-0.056</v>
      </c>
      <c r="O52" s="7">
        <v>0.951</v>
      </c>
      <c r="P52" s="7">
        <v>0.725</v>
      </c>
      <c r="Q52" s="11">
        <v>0.226</v>
      </c>
      <c r="R52" s="7">
        <v>0.894</v>
      </c>
      <c r="S52" s="7">
        <v>0.738</v>
      </c>
      <c r="T52" s="11">
        <v>0.156</v>
      </c>
      <c r="U52" s="7">
        <v>0.86</v>
      </c>
      <c r="V52" s="7">
        <v>0.75</v>
      </c>
      <c r="W52" s="11">
        <v>0.109</v>
      </c>
      <c r="X52" s="7">
        <v>0.878</v>
      </c>
      <c r="Y52" s="7">
        <v>0.761</v>
      </c>
      <c r="Z52" s="11">
        <v>0.117</v>
      </c>
      <c r="AA52" s="7">
        <v>0.841</v>
      </c>
      <c r="AB52" s="7">
        <v>0.76</v>
      </c>
      <c r="AC52" s="11">
        <v>0.082</v>
      </c>
      <c r="AD52" s="7">
        <v>0.764</v>
      </c>
      <c r="AE52" s="7">
        <v>0.751</v>
      </c>
      <c r="AF52" s="11">
        <v>0.013</v>
      </c>
      <c r="AG52" s="7">
        <v>0.512</v>
      </c>
      <c r="AH52" s="7">
        <v>0.736</v>
      </c>
      <c r="AI52" s="10">
        <v>-0.223</v>
      </c>
      <c r="AJ52" s="7">
        <v>0.671</v>
      </c>
      <c r="AK52" s="7">
        <v>0.724</v>
      </c>
      <c r="AL52" s="10">
        <v>-0.053</v>
      </c>
    </row>
    <row r="53" spans="1:38">
      <c r="A53" s="14" t="s">
        <v>135</v>
      </c>
      <c r="B53" s="14" t="s">
        <v>150</v>
      </c>
      <c r="C53" s="15"/>
      <c r="D53" s="15"/>
      <c r="E53" s="14"/>
      <c r="F53" s="15"/>
      <c r="G53" s="15"/>
      <c r="H53" s="14"/>
      <c r="I53" s="15"/>
      <c r="J53" s="15"/>
      <c r="K53" s="14"/>
      <c r="L53" s="15"/>
      <c r="M53" s="15"/>
      <c r="N53" s="14"/>
      <c r="O53" s="15"/>
      <c r="P53" s="15"/>
      <c r="Q53" s="14"/>
      <c r="R53" s="15"/>
      <c r="S53" s="15"/>
      <c r="T53" s="14"/>
      <c r="U53" s="15"/>
      <c r="V53" s="15"/>
      <c r="W53" s="14"/>
      <c r="X53" s="15"/>
      <c r="Y53" s="15"/>
      <c r="Z53" s="14"/>
      <c r="AA53" s="15">
        <v>0.732</v>
      </c>
      <c r="AB53" s="15">
        <v>0.637</v>
      </c>
      <c r="AC53" s="16">
        <v>0.095</v>
      </c>
      <c r="AD53" s="15">
        <v>0.615</v>
      </c>
      <c r="AE53" s="15">
        <v>0.622</v>
      </c>
      <c r="AF53" s="17">
        <v>-0.007</v>
      </c>
      <c r="AG53" s="15">
        <v>0.485</v>
      </c>
      <c r="AH53" s="15">
        <v>0.62</v>
      </c>
      <c r="AI53" s="17">
        <v>-0.135</v>
      </c>
      <c r="AJ53" s="15">
        <v>0.577</v>
      </c>
      <c r="AK53" s="15">
        <v>0.623</v>
      </c>
      <c r="AL53" s="17">
        <v>-0.045</v>
      </c>
    </row>
    <row r="54" spans="1:38">
      <c r="A54" s="2" t="s">
        <v>135</v>
      </c>
      <c r="B54" s="2" t="s">
        <v>54</v>
      </c>
      <c r="C54" s="7"/>
      <c r="D54" s="7"/>
      <c r="E54" s="2"/>
      <c r="F54" s="7"/>
      <c r="G54" s="7"/>
      <c r="H54" s="2"/>
      <c r="I54" s="7"/>
      <c r="J54" s="7"/>
      <c r="K54" s="2"/>
      <c r="L54" s="7"/>
      <c r="M54" s="7"/>
      <c r="N54" s="2"/>
      <c r="O54" s="7"/>
      <c r="P54" s="7"/>
      <c r="Q54" s="2"/>
      <c r="R54" s="7"/>
      <c r="S54" s="7"/>
      <c r="T54" s="2"/>
      <c r="U54" s="7"/>
      <c r="V54" s="7"/>
      <c r="W54" s="2"/>
      <c r="X54" s="7"/>
      <c r="Y54" s="7"/>
      <c r="Z54" s="2"/>
      <c r="AA54" s="7">
        <v>0.659</v>
      </c>
      <c r="AB54" s="7">
        <v>0.8120000000000001</v>
      </c>
      <c r="AC54" s="10">
        <v>-0.154</v>
      </c>
      <c r="AD54" s="7">
        <v>0.634</v>
      </c>
      <c r="AE54" s="7">
        <v>0.795</v>
      </c>
      <c r="AF54" s="10">
        <v>-0.16</v>
      </c>
      <c r="AG54" s="7">
        <v>0.659</v>
      </c>
      <c r="AH54" s="7">
        <v>0.764</v>
      </c>
      <c r="AI54" s="10">
        <v>-0.106</v>
      </c>
      <c r="AJ54" s="7">
        <v>0.39</v>
      </c>
      <c r="AK54" s="7">
        <v>0.74</v>
      </c>
      <c r="AL54" s="10">
        <v>-0.35</v>
      </c>
    </row>
    <row r="55" spans="1:38">
      <c r="A55" s="3" t="s">
        <v>135</v>
      </c>
      <c r="B55" s="3" t="s">
        <v>63</v>
      </c>
      <c r="C55" s="9"/>
      <c r="D55" s="9"/>
      <c r="E55" s="3"/>
      <c r="F55" s="9"/>
      <c r="G55" s="9"/>
      <c r="H55" s="3"/>
      <c r="I55" s="9"/>
      <c r="J55" s="9"/>
      <c r="K55" s="3"/>
      <c r="L55" s="9"/>
      <c r="M55" s="9"/>
      <c r="N55" s="3"/>
      <c r="O55" s="9"/>
      <c r="P55" s="9"/>
      <c r="Q55" s="3"/>
      <c r="R55" s="9"/>
      <c r="S55" s="9"/>
      <c r="T55" s="3"/>
      <c r="U55" s="9"/>
      <c r="V55" s="9"/>
      <c r="W55" s="3"/>
      <c r="X55" s="9"/>
      <c r="Y55" s="9"/>
      <c r="Z55" s="3"/>
      <c r="AA55" s="9">
        <v>0.646</v>
      </c>
      <c r="AB55" s="9">
        <v>0.519</v>
      </c>
      <c r="AC55" s="11">
        <v>0.127</v>
      </c>
      <c r="AD55" s="9">
        <v>0.496</v>
      </c>
      <c r="AE55" s="9">
        <v>0.523</v>
      </c>
      <c r="AF55" s="10">
        <v>-0.027</v>
      </c>
      <c r="AG55" s="9">
        <v>0.447</v>
      </c>
      <c r="AH55" s="9">
        <v>0.517</v>
      </c>
      <c r="AI55" s="10">
        <v>-0.07000000000000001</v>
      </c>
      <c r="AJ55" s="9">
        <v>0.671</v>
      </c>
      <c r="AK55" s="9">
        <v>0.518</v>
      </c>
      <c r="AL55" s="11">
        <v>0.153</v>
      </c>
    </row>
    <row r="56" spans="1:38">
      <c r="A56" s="2" t="s">
        <v>135</v>
      </c>
      <c r="B56" s="2" t="s">
        <v>58</v>
      </c>
      <c r="C56" s="7"/>
      <c r="D56" s="7"/>
      <c r="E56" s="2"/>
      <c r="F56" s="7"/>
      <c r="G56" s="7"/>
      <c r="H56" s="2"/>
      <c r="I56" s="7"/>
      <c r="J56" s="7"/>
      <c r="K56" s="2"/>
      <c r="L56" s="7"/>
      <c r="M56" s="7"/>
      <c r="N56" s="2"/>
      <c r="O56" s="7"/>
      <c r="P56" s="7"/>
      <c r="Q56" s="2"/>
      <c r="R56" s="7"/>
      <c r="S56" s="7"/>
      <c r="T56" s="2"/>
      <c r="U56" s="7"/>
      <c r="V56" s="7"/>
      <c r="W56" s="2"/>
      <c r="X56" s="7"/>
      <c r="Y56" s="7"/>
      <c r="Z56" s="2"/>
      <c r="AA56" s="7">
        <v>0.878</v>
      </c>
      <c r="AB56" s="7">
        <v>0.76</v>
      </c>
      <c r="AC56" s="11">
        <v>0.118</v>
      </c>
      <c r="AD56" s="7"/>
      <c r="AE56" s="7"/>
      <c r="AF56" s="2"/>
      <c r="AG56" s="7">
        <v>0.439</v>
      </c>
      <c r="AH56" s="7">
        <v>0.736</v>
      </c>
      <c r="AI56" s="10">
        <v>-0.297</v>
      </c>
      <c r="AJ56" s="7">
        <v>0.585</v>
      </c>
      <c r="AK56" s="7">
        <v>0.724</v>
      </c>
      <c r="AL56" s="10">
        <v>-0.138</v>
      </c>
    </row>
    <row r="57" spans="1:38">
      <c r="A57" s="14" t="s">
        <v>148</v>
      </c>
      <c r="B57" s="14" t="s">
        <v>150</v>
      </c>
      <c r="C57" s="15">
        <v>0.578</v>
      </c>
      <c r="D57" s="15">
        <v>0.57</v>
      </c>
      <c r="E57" s="16">
        <v>0.008</v>
      </c>
      <c r="F57" s="15">
        <v>0.661</v>
      </c>
      <c r="G57" s="15">
        <v>0.576</v>
      </c>
      <c r="H57" s="16">
        <v>0.08599999999999999</v>
      </c>
      <c r="I57" s="15">
        <v>0.707</v>
      </c>
      <c r="J57" s="15">
        <v>0.627</v>
      </c>
      <c r="K57" s="16">
        <v>0.081</v>
      </c>
      <c r="L57" s="15">
        <v>0.617</v>
      </c>
      <c r="M57" s="15">
        <v>0.633</v>
      </c>
      <c r="N57" s="17">
        <v>-0.016</v>
      </c>
      <c r="O57" s="15">
        <v>0.772</v>
      </c>
      <c r="P57" s="15">
        <v>0.624</v>
      </c>
      <c r="Q57" s="16">
        <v>0.148</v>
      </c>
      <c r="R57" s="15">
        <v>0.758</v>
      </c>
      <c r="S57" s="15">
        <v>0.643</v>
      </c>
      <c r="T57" s="16">
        <v>0.115</v>
      </c>
      <c r="U57" s="15">
        <v>0.8120000000000001</v>
      </c>
      <c r="V57" s="15">
        <v>0.6860000000000001</v>
      </c>
      <c r="W57" s="16">
        <v>0.126</v>
      </c>
      <c r="X57" s="15">
        <v>0.88</v>
      </c>
      <c r="Y57" s="15">
        <v>0.712</v>
      </c>
      <c r="Z57" s="16">
        <v>0.168</v>
      </c>
      <c r="AA57" s="15"/>
      <c r="AB57" s="15"/>
      <c r="AC57" s="14"/>
      <c r="AD57" s="15"/>
      <c r="AE57" s="15"/>
      <c r="AF57" s="14"/>
      <c r="AG57" s="15"/>
      <c r="AH57" s="15"/>
      <c r="AI57" s="14"/>
      <c r="AJ57" s="15"/>
      <c r="AK57" s="15"/>
      <c r="AL57" s="14"/>
    </row>
    <row r="58" spans="1:38">
      <c r="A58" s="2" t="s">
        <v>148</v>
      </c>
      <c r="B58" s="2" t="s">
        <v>60</v>
      </c>
      <c r="C58" s="7"/>
      <c r="D58" s="7"/>
      <c r="E58" s="2"/>
      <c r="F58" s="7"/>
      <c r="G58" s="7"/>
      <c r="H58" s="2"/>
      <c r="I58" s="7"/>
      <c r="J58" s="7"/>
      <c r="K58" s="2"/>
      <c r="L58" s="7"/>
      <c r="M58" s="7"/>
      <c r="N58" s="2"/>
      <c r="O58" s="7">
        <v>0.911</v>
      </c>
      <c r="P58" s="7">
        <v>0.642</v>
      </c>
      <c r="Q58" s="11">
        <v>0.269</v>
      </c>
      <c r="R58" s="7">
        <v>0.732</v>
      </c>
      <c r="S58" s="7">
        <v>0.662</v>
      </c>
      <c r="T58" s="11">
        <v>0.07000000000000001</v>
      </c>
      <c r="U58" s="7">
        <v>0.9389999999999999</v>
      </c>
      <c r="V58" s="7">
        <v>0.708</v>
      </c>
      <c r="W58" s="11">
        <v>0.231</v>
      </c>
      <c r="X58" s="7">
        <v>0.9389999999999999</v>
      </c>
      <c r="Y58" s="7">
        <v>0.732</v>
      </c>
      <c r="Z58" s="11">
        <v>0.207</v>
      </c>
      <c r="AA58" s="7"/>
      <c r="AB58" s="7"/>
      <c r="AC58" s="2"/>
      <c r="AD58" s="7"/>
      <c r="AE58" s="7"/>
      <c r="AF58" s="2"/>
      <c r="AG58" s="7"/>
      <c r="AH58" s="7"/>
      <c r="AI58" s="2"/>
      <c r="AJ58" s="7"/>
      <c r="AK58" s="7"/>
      <c r="AL58" s="2"/>
    </row>
    <row r="59" spans="1:38">
      <c r="A59" s="3" t="s">
        <v>148</v>
      </c>
      <c r="B59" s="3" t="s">
        <v>54</v>
      </c>
      <c r="C59" s="9">
        <v>0.707</v>
      </c>
      <c r="D59" s="9">
        <v>0.697</v>
      </c>
      <c r="E59" s="11">
        <v>0.01</v>
      </c>
      <c r="F59" s="9">
        <v>0.805</v>
      </c>
      <c r="G59" s="9">
        <v>0.703</v>
      </c>
      <c r="H59" s="11">
        <v>0.101</v>
      </c>
      <c r="I59" s="9">
        <v>0.9330000000000001</v>
      </c>
      <c r="J59" s="9">
        <v>0.755</v>
      </c>
      <c r="K59" s="11">
        <v>0.178</v>
      </c>
      <c r="L59" s="9">
        <v>0.504</v>
      </c>
      <c r="M59" s="9">
        <v>0.731</v>
      </c>
      <c r="N59" s="10">
        <v>-0.227</v>
      </c>
      <c r="O59" s="9">
        <v>0.886</v>
      </c>
      <c r="P59" s="9">
        <v>0.767</v>
      </c>
      <c r="Q59" s="11">
        <v>0.119</v>
      </c>
      <c r="R59" s="9">
        <v>0.894</v>
      </c>
      <c r="S59" s="9">
        <v>0.782</v>
      </c>
      <c r="T59" s="11">
        <v>0.112</v>
      </c>
      <c r="U59" s="9">
        <v>0.945</v>
      </c>
      <c r="V59" s="9">
        <v>0.8070000000000001</v>
      </c>
      <c r="W59" s="11">
        <v>0.138</v>
      </c>
      <c r="X59" s="9">
        <v>0.963</v>
      </c>
      <c r="Y59" s="9">
        <v>0.821</v>
      </c>
      <c r="Z59" s="11">
        <v>0.142</v>
      </c>
      <c r="AA59" s="9"/>
      <c r="AB59" s="9"/>
      <c r="AC59" s="3"/>
      <c r="AD59" s="9"/>
      <c r="AE59" s="9"/>
      <c r="AF59" s="3"/>
      <c r="AG59" s="9"/>
      <c r="AH59" s="9"/>
      <c r="AI59" s="3"/>
      <c r="AJ59" s="9"/>
      <c r="AK59" s="9"/>
      <c r="AL59" s="3"/>
    </row>
    <row r="60" spans="1:38">
      <c r="A60" s="2" t="s">
        <v>148</v>
      </c>
      <c r="B60" s="2" t="s">
        <v>64</v>
      </c>
      <c r="C60" s="7">
        <v>0.293</v>
      </c>
      <c r="D60" s="7">
        <v>0.304</v>
      </c>
      <c r="E60" s="10">
        <v>-0.011</v>
      </c>
      <c r="F60" s="7">
        <v>0.543</v>
      </c>
      <c r="G60" s="7">
        <v>0.4</v>
      </c>
      <c r="H60" s="11">
        <v>0.143</v>
      </c>
      <c r="I60" s="7">
        <v>0.591</v>
      </c>
      <c r="J60" s="7">
        <v>0.447</v>
      </c>
      <c r="K60" s="11">
        <v>0.145</v>
      </c>
      <c r="L60" s="7">
        <v>0.447</v>
      </c>
      <c r="M60" s="7">
        <v>0.444</v>
      </c>
      <c r="N60" s="11">
        <v>0.003</v>
      </c>
      <c r="O60" s="7">
        <v>0.5</v>
      </c>
      <c r="P60" s="7">
        <v>0.458</v>
      </c>
      <c r="Q60" s="11">
        <v>0.042</v>
      </c>
      <c r="R60" s="7">
        <v>0.585</v>
      </c>
      <c r="S60" s="7">
        <v>0.467</v>
      </c>
      <c r="T60" s="11">
        <v>0.118</v>
      </c>
      <c r="U60" s="7">
        <v>0.598</v>
      </c>
      <c r="V60" s="7">
        <v>0.498</v>
      </c>
      <c r="W60" s="11">
        <v>0.099</v>
      </c>
      <c r="X60" s="7">
        <v>0.772</v>
      </c>
      <c r="Y60" s="7">
        <v>0.508</v>
      </c>
      <c r="Z60" s="11">
        <v>0.265</v>
      </c>
      <c r="AA60" s="7"/>
      <c r="AB60" s="7"/>
      <c r="AC60" s="2"/>
      <c r="AD60" s="7"/>
      <c r="AE60" s="7"/>
      <c r="AF60" s="2"/>
      <c r="AG60" s="7"/>
      <c r="AH60" s="7"/>
      <c r="AI60" s="2"/>
      <c r="AJ60" s="7"/>
      <c r="AK60" s="7"/>
      <c r="AL60" s="2"/>
    </row>
    <row r="61" spans="1:38">
      <c r="A61" s="3" t="s">
        <v>148</v>
      </c>
      <c r="B61" s="3" t="s">
        <v>126</v>
      </c>
      <c r="C61" s="9">
        <v>0.988</v>
      </c>
      <c r="D61" s="9">
        <v>0.984</v>
      </c>
      <c r="E61" s="11">
        <v>0.004</v>
      </c>
      <c r="F61" s="9">
        <v>0.5610000000000001</v>
      </c>
      <c r="G61" s="9">
        <v>0.833</v>
      </c>
      <c r="H61" s="10">
        <v>-0.272</v>
      </c>
      <c r="I61" s="9">
        <v>0.72</v>
      </c>
      <c r="J61" s="9">
        <v>0.78</v>
      </c>
      <c r="K61" s="10">
        <v>-0.061</v>
      </c>
      <c r="L61" s="9">
        <v>0.951</v>
      </c>
      <c r="M61" s="9">
        <v>0.8110000000000001</v>
      </c>
      <c r="N61" s="11">
        <v>0.14</v>
      </c>
      <c r="O61" s="9"/>
      <c r="P61" s="9"/>
      <c r="Q61" s="3"/>
      <c r="R61" s="9"/>
      <c r="S61" s="9"/>
      <c r="T61" s="3"/>
      <c r="U61" s="9"/>
      <c r="V61" s="9"/>
      <c r="W61" s="3"/>
      <c r="X61" s="9"/>
      <c r="Y61" s="9"/>
      <c r="Z61" s="3"/>
      <c r="AA61" s="9"/>
      <c r="AB61" s="9"/>
      <c r="AC61" s="3"/>
      <c r="AD61" s="9"/>
      <c r="AE61" s="9"/>
      <c r="AF61" s="3"/>
      <c r="AG61" s="9"/>
      <c r="AH61" s="9"/>
      <c r="AI61" s="3"/>
      <c r="AJ61" s="9"/>
      <c r="AK61" s="9"/>
      <c r="AL61" s="3"/>
    </row>
    <row r="62" spans="1:38">
      <c r="A62" s="2" t="s">
        <v>148</v>
      </c>
      <c r="B62" s="2" t="s">
        <v>58</v>
      </c>
      <c r="C62" s="7">
        <v>0.622</v>
      </c>
      <c r="D62" s="7">
        <v>0.537</v>
      </c>
      <c r="E62" s="11">
        <v>0.08500000000000001</v>
      </c>
      <c r="F62" s="7">
        <v>0.805</v>
      </c>
      <c r="G62" s="7">
        <v>0.637</v>
      </c>
      <c r="H62" s="11">
        <v>0.168</v>
      </c>
      <c r="I62" s="7">
        <v>0.8129999999999999</v>
      </c>
      <c r="J62" s="7">
        <v>0.65</v>
      </c>
      <c r="K62" s="11">
        <v>0.163</v>
      </c>
      <c r="L62" s="7">
        <v>0.789</v>
      </c>
      <c r="M62" s="7">
        <v>0.666</v>
      </c>
      <c r="N62" s="11">
        <v>0.123</v>
      </c>
      <c r="O62" s="7">
        <v>0.894</v>
      </c>
      <c r="P62" s="7">
        <v>0.725</v>
      </c>
      <c r="Q62" s="11">
        <v>0.169</v>
      </c>
      <c r="R62" s="7">
        <v>0.805</v>
      </c>
      <c r="S62" s="7">
        <v>0.738</v>
      </c>
      <c r="T62" s="11">
        <v>0.066</v>
      </c>
      <c r="U62" s="7">
        <v>0.762</v>
      </c>
      <c r="V62" s="7">
        <v>0.75</v>
      </c>
      <c r="W62" s="11">
        <v>0.012</v>
      </c>
      <c r="X62" s="7">
        <v>0.805</v>
      </c>
      <c r="Y62" s="7">
        <v>0.761</v>
      </c>
      <c r="Z62" s="11">
        <v>0.044</v>
      </c>
      <c r="AA62" s="7"/>
      <c r="AB62" s="7"/>
      <c r="AC62" s="2"/>
      <c r="AD62" s="7"/>
      <c r="AE62" s="7"/>
      <c r="AF62" s="2"/>
      <c r="AG62" s="7"/>
      <c r="AH62" s="7"/>
      <c r="AI62" s="2"/>
      <c r="AJ62" s="7"/>
      <c r="AK62" s="7"/>
      <c r="AL62" s="2"/>
    </row>
    <row r="63" spans="1:38">
      <c r="A63" s="14" t="s">
        <v>133</v>
      </c>
      <c r="B63" s="14" t="s">
        <v>150</v>
      </c>
      <c r="C63" s="15"/>
      <c r="D63" s="15"/>
      <c r="E63" s="14"/>
      <c r="F63" s="15"/>
      <c r="G63" s="15"/>
      <c r="H63" s="14"/>
      <c r="I63" s="15"/>
      <c r="J63" s="15"/>
      <c r="K63" s="14"/>
      <c r="L63" s="15"/>
      <c r="M63" s="15"/>
      <c r="N63" s="14"/>
      <c r="O63" s="15"/>
      <c r="P63" s="15"/>
      <c r="Q63" s="14"/>
      <c r="R63" s="15"/>
      <c r="S63" s="15"/>
      <c r="T63" s="14"/>
      <c r="U63" s="15"/>
      <c r="V63" s="15"/>
      <c r="W63" s="14"/>
      <c r="X63" s="15"/>
      <c r="Y63" s="15"/>
      <c r="Z63" s="14"/>
      <c r="AA63" s="15">
        <v>0.6830000000000001</v>
      </c>
      <c r="AB63" s="15">
        <v>0.507</v>
      </c>
      <c r="AC63" s="16">
        <v>0.176</v>
      </c>
      <c r="AD63" s="15">
        <v>0.517</v>
      </c>
      <c r="AE63" s="15">
        <v>0.515</v>
      </c>
      <c r="AF63" s="16">
        <v>0.002</v>
      </c>
      <c r="AG63" s="15">
        <v>0.512</v>
      </c>
      <c r="AH63" s="15">
        <v>0.553</v>
      </c>
      <c r="AI63" s="17">
        <v>-0.041</v>
      </c>
      <c r="AJ63" s="15">
        <v>0.585</v>
      </c>
      <c r="AK63" s="15">
        <v>0.495</v>
      </c>
      <c r="AL63" s="16">
        <v>0.09</v>
      </c>
    </row>
    <row r="64" spans="1:38">
      <c r="A64" s="2" t="s">
        <v>133</v>
      </c>
      <c r="B64" s="2" t="s">
        <v>64</v>
      </c>
      <c r="C64" s="7"/>
      <c r="D64" s="7"/>
      <c r="E64" s="2"/>
      <c r="F64" s="7"/>
      <c r="G64" s="7"/>
      <c r="H64" s="2"/>
      <c r="I64" s="7"/>
      <c r="J64" s="7"/>
      <c r="K64" s="2"/>
      <c r="L64" s="7"/>
      <c r="M64" s="7"/>
      <c r="N64" s="2"/>
      <c r="O64" s="7"/>
      <c r="P64" s="7"/>
      <c r="Q64" s="2"/>
      <c r="R64" s="7"/>
      <c r="S64" s="7"/>
      <c r="T64" s="2"/>
      <c r="U64" s="7"/>
      <c r="V64" s="7"/>
      <c r="W64" s="2"/>
      <c r="X64" s="7"/>
      <c r="Y64" s="7"/>
      <c r="Z64" s="2"/>
      <c r="AA64" s="7">
        <v>0.6830000000000001</v>
      </c>
      <c r="AB64" s="7">
        <v>0.507</v>
      </c>
      <c r="AC64" s="11">
        <v>0.176</v>
      </c>
      <c r="AD64" s="7">
        <v>0.476</v>
      </c>
      <c r="AE64" s="7">
        <v>0.498</v>
      </c>
      <c r="AF64" s="10">
        <v>-0.022</v>
      </c>
      <c r="AG64" s="7">
        <v>0.528</v>
      </c>
      <c r="AH64" s="7">
        <v>0.493</v>
      </c>
      <c r="AI64" s="11">
        <v>0.036</v>
      </c>
      <c r="AJ64" s="7">
        <v>0.585</v>
      </c>
      <c r="AK64" s="7">
        <v>0.495</v>
      </c>
      <c r="AL64" s="11">
        <v>0.09</v>
      </c>
    </row>
    <row r="65" spans="1:38">
      <c r="A65" s="14" t="s">
        <v>143</v>
      </c>
      <c r="B65" s="14" t="s">
        <v>150</v>
      </c>
      <c r="C65" s="15">
        <v>0.348</v>
      </c>
      <c r="D65" s="15">
        <v>0.472</v>
      </c>
      <c r="E65" s="17">
        <v>-0.124</v>
      </c>
      <c r="F65" s="15">
        <v>0.526</v>
      </c>
      <c r="G65" s="15">
        <v>0.535</v>
      </c>
      <c r="H65" s="17">
        <v>-0.01</v>
      </c>
      <c r="I65" s="15">
        <v>0.539</v>
      </c>
      <c r="J65" s="15">
        <v>0.5590000000000001</v>
      </c>
      <c r="K65" s="17">
        <v>-0.02</v>
      </c>
      <c r="L65" s="15">
        <v>0.535</v>
      </c>
      <c r="M65" s="15">
        <v>0.5649999999999999</v>
      </c>
      <c r="N65" s="17">
        <v>-0.029</v>
      </c>
      <c r="O65" s="15">
        <v>0.912</v>
      </c>
      <c r="P65" s="15">
        <v>0.654</v>
      </c>
      <c r="Q65" s="16">
        <v>0.258</v>
      </c>
      <c r="R65" s="15">
        <v>0.8139999999999999</v>
      </c>
      <c r="S65" s="15">
        <v>0.68</v>
      </c>
      <c r="T65" s="16">
        <v>0.135</v>
      </c>
      <c r="U65" s="15">
        <v>0.841</v>
      </c>
      <c r="V65" s="15">
        <v>0.705</v>
      </c>
      <c r="W65" s="16">
        <v>0.137</v>
      </c>
      <c r="X65" s="15">
        <v>0.851</v>
      </c>
      <c r="Y65" s="15">
        <v>0.71</v>
      </c>
      <c r="Z65" s="16">
        <v>0.141</v>
      </c>
      <c r="AA65" s="15">
        <v>0.619</v>
      </c>
      <c r="AB65" s="15">
        <v>0.723</v>
      </c>
      <c r="AC65" s="17">
        <v>-0.104</v>
      </c>
      <c r="AD65" s="15">
        <v>0.698</v>
      </c>
      <c r="AE65" s="15">
        <v>0.736</v>
      </c>
      <c r="AF65" s="17">
        <v>-0.038</v>
      </c>
      <c r="AG65" s="15">
        <v>0.661</v>
      </c>
      <c r="AH65" s="15">
        <v>0.726</v>
      </c>
      <c r="AI65" s="17">
        <v>-0.065</v>
      </c>
      <c r="AJ65" s="15">
        <v>0.458</v>
      </c>
      <c r="AK65" s="15">
        <v>0.71</v>
      </c>
      <c r="AL65" s="17">
        <v>-0.252</v>
      </c>
    </row>
    <row r="66" spans="1:38">
      <c r="A66" s="2" t="s">
        <v>143</v>
      </c>
      <c r="B66" s="2" t="s">
        <v>123</v>
      </c>
      <c r="C66" s="7">
        <v>0.201</v>
      </c>
      <c r="D66" s="7">
        <v>0.421</v>
      </c>
      <c r="E66" s="10">
        <v>-0.22</v>
      </c>
      <c r="F66" s="7">
        <v>0.354</v>
      </c>
      <c r="G66" s="7">
        <v>0.48</v>
      </c>
      <c r="H66" s="10">
        <v>-0.126</v>
      </c>
      <c r="I66" s="7">
        <v>0.302</v>
      </c>
      <c r="J66" s="7">
        <v>0.465</v>
      </c>
      <c r="K66" s="10">
        <v>-0.162</v>
      </c>
      <c r="L66" s="7">
        <v>0.502</v>
      </c>
      <c r="M66" s="7">
        <v>0.494</v>
      </c>
      <c r="N66" s="11">
        <v>0.008999999999999999</v>
      </c>
      <c r="O66" s="7"/>
      <c r="P66" s="7"/>
      <c r="Q66" s="2"/>
      <c r="R66" s="7"/>
      <c r="S66" s="7"/>
      <c r="T66" s="2"/>
      <c r="U66" s="7"/>
      <c r="V66" s="7"/>
      <c r="W66" s="2"/>
      <c r="X66" s="7">
        <v>0.512</v>
      </c>
      <c r="Y66" s="7">
        <v>0.594</v>
      </c>
      <c r="Z66" s="10">
        <v>-0.081</v>
      </c>
      <c r="AA66" s="7"/>
      <c r="AB66" s="7"/>
      <c r="AC66" s="2"/>
      <c r="AD66" s="7"/>
      <c r="AE66" s="7"/>
      <c r="AF66" s="2"/>
      <c r="AG66" s="7"/>
      <c r="AH66" s="7"/>
      <c r="AI66" s="2"/>
      <c r="AJ66" s="7"/>
      <c r="AK66" s="7"/>
      <c r="AL66" s="2"/>
    </row>
    <row r="67" spans="1:38">
      <c r="A67" s="3" t="s">
        <v>143</v>
      </c>
      <c r="B67" s="3" t="s">
        <v>60</v>
      </c>
      <c r="C67" s="9"/>
      <c r="D67" s="9"/>
      <c r="E67" s="3"/>
      <c r="F67" s="9">
        <v>0.53</v>
      </c>
      <c r="G67" s="9">
        <v>0.53</v>
      </c>
      <c r="H67" s="11">
        <v>0</v>
      </c>
      <c r="I67" s="9">
        <v>0.768</v>
      </c>
      <c r="J67" s="9">
        <v>0.57</v>
      </c>
      <c r="K67" s="11">
        <v>0.198</v>
      </c>
      <c r="L67" s="9">
        <v>0.447</v>
      </c>
      <c r="M67" s="9">
        <v>0.537</v>
      </c>
      <c r="N67" s="10">
        <v>-0.089</v>
      </c>
      <c r="O67" s="9">
        <v>0.732</v>
      </c>
      <c r="P67" s="9">
        <v>0.642</v>
      </c>
      <c r="Q67" s="11">
        <v>0.09</v>
      </c>
      <c r="R67" s="9"/>
      <c r="S67" s="9"/>
      <c r="T67" s="3"/>
      <c r="U67" s="9"/>
      <c r="V67" s="9"/>
      <c r="W67" s="3"/>
      <c r="X67" s="9"/>
      <c r="Y67" s="9"/>
      <c r="Z67" s="3"/>
      <c r="AA67" s="9"/>
      <c r="AB67" s="9"/>
      <c r="AC67" s="3"/>
      <c r="AD67" s="9"/>
      <c r="AE67" s="9"/>
      <c r="AF67" s="3"/>
      <c r="AG67" s="9"/>
      <c r="AH67" s="9"/>
      <c r="AI67" s="3"/>
      <c r="AJ67" s="9"/>
      <c r="AK67" s="9"/>
      <c r="AL67" s="3"/>
    </row>
    <row r="68" spans="1:38">
      <c r="A68" s="2" t="s">
        <v>143</v>
      </c>
      <c r="B68" s="2" t="s">
        <v>55</v>
      </c>
      <c r="C68" s="7">
        <v>0.517</v>
      </c>
      <c r="D68" s="7">
        <v>0.5659999999999999</v>
      </c>
      <c r="E68" s="10">
        <v>-0.049</v>
      </c>
      <c r="F68" s="7">
        <v>0.622</v>
      </c>
      <c r="G68" s="7">
        <v>0.612</v>
      </c>
      <c r="H68" s="11">
        <v>0.008999999999999999</v>
      </c>
      <c r="I68" s="7">
        <v>0.604</v>
      </c>
      <c r="J68" s="7">
        <v>0.618</v>
      </c>
      <c r="K68" s="10">
        <v>-0.015</v>
      </c>
      <c r="L68" s="7">
        <v>0.493</v>
      </c>
      <c r="M68" s="7">
        <v>0.609</v>
      </c>
      <c r="N68" s="10">
        <v>-0.116</v>
      </c>
      <c r="O68" s="7">
        <v>0.951</v>
      </c>
      <c r="P68" s="7">
        <v>0.673</v>
      </c>
      <c r="Q68" s="11">
        <v>0.278</v>
      </c>
      <c r="R68" s="7">
        <v>0.866</v>
      </c>
      <c r="S68" s="7">
        <v>0.702</v>
      </c>
      <c r="T68" s="11">
        <v>0.163</v>
      </c>
      <c r="U68" s="7">
        <v>0.922</v>
      </c>
      <c r="V68" s="7">
        <v>0.734</v>
      </c>
      <c r="W68" s="11">
        <v>0.188</v>
      </c>
      <c r="X68" s="7">
        <v>0.927</v>
      </c>
      <c r="Y68" s="7">
        <v>0.751</v>
      </c>
      <c r="Z68" s="11">
        <v>0.176</v>
      </c>
      <c r="AA68" s="7">
        <v>0.61</v>
      </c>
      <c r="AB68" s="7">
        <v>0.74</v>
      </c>
      <c r="AC68" s="10">
        <v>-0.131</v>
      </c>
      <c r="AD68" s="7">
        <v>0.793</v>
      </c>
      <c r="AE68" s="7">
        <v>0.746</v>
      </c>
      <c r="AF68" s="11">
        <v>0.047</v>
      </c>
      <c r="AG68" s="7">
        <v>0.652</v>
      </c>
      <c r="AH68" s="7">
        <v>0.737</v>
      </c>
      <c r="AI68" s="10">
        <v>-0.08500000000000001</v>
      </c>
      <c r="AJ68" s="7">
        <v>0.401</v>
      </c>
      <c r="AK68" s="7">
        <v>0.714</v>
      </c>
      <c r="AL68" s="10">
        <v>-0.313</v>
      </c>
    </row>
    <row r="69" spans="1:38">
      <c r="A69" s="3" t="s">
        <v>143</v>
      </c>
      <c r="B69" s="3" t="s">
        <v>61</v>
      </c>
      <c r="C69" s="9">
        <v>0.358</v>
      </c>
      <c r="D69" s="9">
        <v>0.38</v>
      </c>
      <c r="E69" s="10">
        <v>-0.022</v>
      </c>
      <c r="F69" s="9">
        <v>0.506</v>
      </c>
      <c r="G69" s="9">
        <v>0.48</v>
      </c>
      <c r="H69" s="11">
        <v>0.026</v>
      </c>
      <c r="I69" s="9">
        <v>0.72</v>
      </c>
      <c r="J69" s="9">
        <v>0.552</v>
      </c>
      <c r="K69" s="11">
        <v>0.167</v>
      </c>
      <c r="L69" s="9">
        <v>0.591</v>
      </c>
      <c r="M69" s="9">
        <v>0.574</v>
      </c>
      <c r="N69" s="11">
        <v>0.017</v>
      </c>
      <c r="O69" s="9">
        <v>0.917</v>
      </c>
      <c r="P69" s="9">
        <v>0.642</v>
      </c>
      <c r="Q69" s="11">
        <v>0.275</v>
      </c>
      <c r="R69" s="9">
        <v>0.762</v>
      </c>
      <c r="S69" s="9">
        <v>0.657</v>
      </c>
      <c r="T69" s="11">
        <v>0.106</v>
      </c>
      <c r="U69" s="9">
        <v>0.707</v>
      </c>
      <c r="V69" s="9">
        <v>0.674</v>
      </c>
      <c r="W69" s="11">
        <v>0.033</v>
      </c>
      <c r="X69" s="9">
        <v>0.886</v>
      </c>
      <c r="Y69" s="9">
        <v>0.6889999999999999</v>
      </c>
      <c r="Z69" s="11">
        <v>0.197</v>
      </c>
      <c r="AA69" s="9">
        <v>0.634</v>
      </c>
      <c r="AB69" s="9">
        <v>0.6919999999999999</v>
      </c>
      <c r="AC69" s="10">
        <v>-0.058</v>
      </c>
      <c r="AD69" s="9">
        <v>0.602</v>
      </c>
      <c r="AE69" s="9">
        <v>0.6919999999999999</v>
      </c>
      <c r="AF69" s="10">
        <v>-0.091</v>
      </c>
      <c r="AG69" s="9">
        <v>0.695</v>
      </c>
      <c r="AH69" s="9">
        <v>0.6899999999999999</v>
      </c>
      <c r="AI69" s="11">
        <v>0.005</v>
      </c>
      <c r="AJ69" s="9">
        <v>0.622</v>
      </c>
      <c r="AK69" s="9">
        <v>0.6860000000000001</v>
      </c>
      <c r="AL69" s="10">
        <v>-0.064</v>
      </c>
    </row>
    <row r="70" spans="1:38">
      <c r="A70" s="2" t="s">
        <v>143</v>
      </c>
      <c r="B70" s="2" t="s">
        <v>58</v>
      </c>
      <c r="C70" s="7"/>
      <c r="D70" s="7"/>
      <c r="E70" s="2"/>
      <c r="F70" s="7"/>
      <c r="G70" s="7"/>
      <c r="H70" s="2"/>
      <c r="I70" s="7"/>
      <c r="J70" s="7"/>
      <c r="K70" s="2"/>
      <c r="L70" s="7"/>
      <c r="M70" s="7"/>
      <c r="N70" s="2"/>
      <c r="O70" s="7"/>
      <c r="P70" s="7"/>
      <c r="Q70" s="2"/>
      <c r="R70" s="7"/>
      <c r="S70" s="7"/>
      <c r="T70" s="2"/>
      <c r="U70" s="7"/>
      <c r="V70" s="7"/>
      <c r="W70" s="2"/>
      <c r="X70" s="7">
        <v>0.854</v>
      </c>
      <c r="Y70" s="7">
        <v>0.761</v>
      </c>
      <c r="Z70" s="11">
        <v>0.093</v>
      </c>
      <c r="AA70" s="7"/>
      <c r="AB70" s="7"/>
      <c r="AC70" s="2"/>
      <c r="AD70" s="7">
        <v>0.366</v>
      </c>
      <c r="AE70" s="7">
        <v>0.751</v>
      </c>
      <c r="AF70" s="10">
        <v>-0.385</v>
      </c>
      <c r="AG70" s="7"/>
      <c r="AH70" s="7"/>
      <c r="AI70" s="2"/>
      <c r="AJ70" s="7">
        <v>0.293</v>
      </c>
      <c r="AK70" s="7">
        <v>0.724</v>
      </c>
      <c r="AL70" s="10">
        <v>-0.431</v>
      </c>
    </row>
    <row r="71" spans="1:38">
      <c r="A71" s="14" t="s">
        <v>149</v>
      </c>
      <c r="B71" s="14" t="s">
        <v>150</v>
      </c>
      <c r="C71" s="15">
        <v>0.555</v>
      </c>
      <c r="D71" s="15">
        <v>0.512</v>
      </c>
      <c r="E71" s="16">
        <v>0.043</v>
      </c>
      <c r="F71" s="15">
        <v>0.648</v>
      </c>
      <c r="G71" s="15">
        <v>0.581</v>
      </c>
      <c r="H71" s="16">
        <v>0.067</v>
      </c>
      <c r="I71" s="15">
        <v>0.613</v>
      </c>
      <c r="J71" s="15">
        <v>0.5570000000000001</v>
      </c>
      <c r="K71" s="16">
        <v>0.056</v>
      </c>
      <c r="L71" s="15">
        <v>0.595</v>
      </c>
      <c r="M71" s="15">
        <v>0.596</v>
      </c>
      <c r="N71" s="17">
        <v>-0.001</v>
      </c>
      <c r="O71" s="15">
        <v>0.8080000000000001</v>
      </c>
      <c r="P71" s="15">
        <v>0.625</v>
      </c>
      <c r="Q71" s="16">
        <v>0.183</v>
      </c>
      <c r="R71" s="15">
        <v>0.726</v>
      </c>
      <c r="S71" s="15">
        <v>0.646</v>
      </c>
      <c r="T71" s="16">
        <v>0.08</v>
      </c>
      <c r="U71" s="15">
        <v>0.828</v>
      </c>
      <c r="V71" s="15">
        <v>0.661</v>
      </c>
      <c r="W71" s="16">
        <v>0.167</v>
      </c>
      <c r="X71" s="15">
        <v>0.79</v>
      </c>
      <c r="Y71" s="15">
        <v>0.702</v>
      </c>
      <c r="Z71" s="16">
        <v>0.08799999999999999</v>
      </c>
      <c r="AA71" s="15">
        <v>0.873</v>
      </c>
      <c r="AB71" s="15">
        <v>0.748</v>
      </c>
      <c r="AC71" s="16">
        <v>0.125</v>
      </c>
      <c r="AD71" s="15"/>
      <c r="AE71" s="15"/>
      <c r="AF71" s="14"/>
      <c r="AG71" s="15"/>
      <c r="AH71" s="15"/>
      <c r="AI71" s="14"/>
      <c r="AJ71" s="15"/>
      <c r="AK71" s="15"/>
      <c r="AL71" s="14"/>
    </row>
    <row r="72" spans="1:38">
      <c r="A72" s="2" t="s">
        <v>149</v>
      </c>
      <c r="B72" s="2" t="s">
        <v>123</v>
      </c>
      <c r="C72" s="7">
        <v>0.53</v>
      </c>
      <c r="D72" s="7">
        <v>0.421</v>
      </c>
      <c r="E72" s="11">
        <v>0.11</v>
      </c>
      <c r="F72" s="7">
        <v>0.582</v>
      </c>
      <c r="G72" s="7">
        <v>0.48</v>
      </c>
      <c r="H72" s="11">
        <v>0.102</v>
      </c>
      <c r="I72" s="7">
        <v>0.59</v>
      </c>
      <c r="J72" s="7">
        <v>0.465</v>
      </c>
      <c r="K72" s="11">
        <v>0.126</v>
      </c>
      <c r="L72" s="7">
        <v>0.659</v>
      </c>
      <c r="M72" s="7">
        <v>0.494</v>
      </c>
      <c r="N72" s="11">
        <v>0.165</v>
      </c>
      <c r="O72" s="7">
        <v>0.713</v>
      </c>
      <c r="P72" s="7">
        <v>0.536</v>
      </c>
      <c r="Q72" s="11">
        <v>0.177</v>
      </c>
      <c r="R72" s="7">
        <v>0.634</v>
      </c>
      <c r="S72" s="7">
        <v>0.555</v>
      </c>
      <c r="T72" s="11">
        <v>0.079</v>
      </c>
      <c r="U72" s="7">
        <v>0.774</v>
      </c>
      <c r="V72" s="7">
        <v>0.575</v>
      </c>
      <c r="W72" s="11">
        <v>0.198</v>
      </c>
      <c r="X72" s="7">
        <v>0.768</v>
      </c>
      <c r="Y72" s="7">
        <v>0.594</v>
      </c>
      <c r="Z72" s="11">
        <v>0.175</v>
      </c>
      <c r="AA72" s="7"/>
      <c r="AB72" s="7"/>
      <c r="AC72" s="2"/>
      <c r="AD72" s="7"/>
      <c r="AE72" s="7"/>
      <c r="AF72" s="2"/>
      <c r="AG72" s="7"/>
      <c r="AH72" s="7"/>
      <c r="AI72" s="2"/>
      <c r="AJ72" s="7"/>
      <c r="AK72" s="7"/>
      <c r="AL72" s="2"/>
    </row>
    <row r="73" spans="1:38">
      <c r="A73" s="3" t="s">
        <v>149</v>
      </c>
      <c r="B73" s="3" t="s">
        <v>56</v>
      </c>
      <c r="C73" s="9">
        <v>0.902</v>
      </c>
      <c r="D73" s="9">
        <v>0.475</v>
      </c>
      <c r="E73" s="11">
        <v>0.428</v>
      </c>
      <c r="F73" s="9"/>
      <c r="G73" s="9"/>
      <c r="H73" s="3"/>
      <c r="I73" s="9"/>
      <c r="J73" s="9"/>
      <c r="K73" s="3"/>
      <c r="L73" s="9"/>
      <c r="M73" s="9"/>
      <c r="N73" s="3"/>
      <c r="O73" s="9"/>
      <c r="P73" s="9"/>
      <c r="Q73" s="3"/>
      <c r="R73" s="9">
        <v>0.854</v>
      </c>
      <c r="S73" s="9">
        <v>0.723</v>
      </c>
      <c r="T73" s="11">
        <v>0.131</v>
      </c>
      <c r="U73" s="9">
        <v>1</v>
      </c>
      <c r="V73" s="9">
        <v>0.747</v>
      </c>
      <c r="W73" s="11">
        <v>0.253</v>
      </c>
      <c r="X73" s="9"/>
      <c r="Y73" s="9"/>
      <c r="Z73" s="3"/>
      <c r="AA73" s="9">
        <v>0.841</v>
      </c>
      <c r="AB73" s="9">
        <v>0.762</v>
      </c>
      <c r="AC73" s="11">
        <v>0.079</v>
      </c>
      <c r="AD73" s="9"/>
      <c r="AE73" s="9"/>
      <c r="AF73" s="3"/>
      <c r="AG73" s="9"/>
      <c r="AH73" s="9"/>
      <c r="AI73" s="3"/>
      <c r="AJ73" s="9"/>
      <c r="AK73" s="9"/>
      <c r="AL73" s="3"/>
    </row>
    <row r="74" spans="1:38">
      <c r="A74" s="2" t="s">
        <v>149</v>
      </c>
      <c r="B74" s="2" t="s">
        <v>54</v>
      </c>
      <c r="C74" s="7">
        <v>0.488</v>
      </c>
      <c r="D74" s="7">
        <v>0.697</v>
      </c>
      <c r="E74" s="10">
        <v>-0.209</v>
      </c>
      <c r="F74" s="7">
        <v>0.593</v>
      </c>
      <c r="G74" s="7">
        <v>0.703</v>
      </c>
      <c r="H74" s="10">
        <v>-0.11</v>
      </c>
      <c r="I74" s="7"/>
      <c r="J74" s="7"/>
      <c r="K74" s="2"/>
      <c r="L74" s="7">
        <v>0.415</v>
      </c>
      <c r="M74" s="7">
        <v>0.731</v>
      </c>
      <c r="N74" s="10">
        <v>-0.317</v>
      </c>
      <c r="O74" s="7">
        <v>0.982</v>
      </c>
      <c r="P74" s="7">
        <v>0.767</v>
      </c>
      <c r="Q74" s="11">
        <v>0.214</v>
      </c>
      <c r="R74" s="7">
        <v>0.9429999999999999</v>
      </c>
      <c r="S74" s="7">
        <v>0.782</v>
      </c>
      <c r="T74" s="11">
        <v>0.161</v>
      </c>
      <c r="U74" s="7">
        <v>0.951</v>
      </c>
      <c r="V74" s="7">
        <v>0.8070000000000001</v>
      </c>
      <c r="W74" s="11">
        <v>0.144</v>
      </c>
      <c r="X74" s="7">
        <v>0.841</v>
      </c>
      <c r="Y74" s="7">
        <v>0.821</v>
      </c>
      <c r="Z74" s="11">
        <v>0.02</v>
      </c>
      <c r="AA74" s="7"/>
      <c r="AB74" s="7"/>
      <c r="AC74" s="2"/>
      <c r="AD74" s="7"/>
      <c r="AE74" s="7"/>
      <c r="AF74" s="2"/>
      <c r="AG74" s="7"/>
      <c r="AH74" s="7"/>
      <c r="AI74" s="2"/>
      <c r="AJ74" s="7"/>
      <c r="AK74" s="7"/>
      <c r="AL74" s="2"/>
    </row>
    <row r="75" spans="1:38">
      <c r="A75" s="3" t="s">
        <v>149</v>
      </c>
      <c r="B75" s="3" t="s">
        <v>64</v>
      </c>
      <c r="C75" s="9">
        <v>0.171</v>
      </c>
      <c r="D75" s="9">
        <v>0.304</v>
      </c>
      <c r="E75" s="10">
        <v>-0.133</v>
      </c>
      <c r="F75" s="9">
        <v>0.366</v>
      </c>
      <c r="G75" s="9">
        <v>0.4</v>
      </c>
      <c r="H75" s="10">
        <v>-0.034</v>
      </c>
      <c r="I75" s="9">
        <v>0.366</v>
      </c>
      <c r="J75" s="9">
        <v>0.447</v>
      </c>
      <c r="K75" s="10">
        <v>-0.081</v>
      </c>
      <c r="L75" s="9"/>
      <c r="M75" s="9"/>
      <c r="N75" s="3"/>
      <c r="O75" s="9">
        <v>0.341</v>
      </c>
      <c r="P75" s="9">
        <v>0.458</v>
      </c>
      <c r="Q75" s="10">
        <v>-0.116</v>
      </c>
      <c r="R75" s="9">
        <v>0.268</v>
      </c>
      <c r="S75" s="9">
        <v>0.467</v>
      </c>
      <c r="T75" s="10">
        <v>-0.199</v>
      </c>
      <c r="U75" s="9">
        <v>0.756</v>
      </c>
      <c r="V75" s="9">
        <v>0.498</v>
      </c>
      <c r="W75" s="11">
        <v>0.258</v>
      </c>
      <c r="X75" s="9"/>
      <c r="Y75" s="9"/>
      <c r="Z75" s="3"/>
      <c r="AA75" s="9"/>
      <c r="AB75" s="9"/>
      <c r="AC75" s="3"/>
      <c r="AD75" s="9"/>
      <c r="AE75" s="9"/>
      <c r="AF75" s="3"/>
      <c r="AG75" s="9"/>
      <c r="AH75" s="9"/>
      <c r="AI75" s="3"/>
      <c r="AJ75" s="9"/>
      <c r="AK75" s="9"/>
      <c r="AL75" s="3"/>
    </row>
    <row r="76" spans="1:38">
      <c r="A76" s="2" t="s">
        <v>149</v>
      </c>
      <c r="B76" s="2" t="s">
        <v>55</v>
      </c>
      <c r="C76" s="7">
        <v>0.6909999999999999</v>
      </c>
      <c r="D76" s="7">
        <v>0.5659999999999999</v>
      </c>
      <c r="E76" s="11">
        <v>0.125</v>
      </c>
      <c r="F76" s="7">
        <v>0.6879999999999999</v>
      </c>
      <c r="G76" s="7">
        <v>0.612</v>
      </c>
      <c r="H76" s="11">
        <v>0.075</v>
      </c>
      <c r="I76" s="7">
        <v>0.707</v>
      </c>
      <c r="J76" s="7">
        <v>0.618</v>
      </c>
      <c r="K76" s="11">
        <v>0.089</v>
      </c>
      <c r="L76" s="7">
        <v>0.724</v>
      </c>
      <c r="M76" s="7">
        <v>0.609</v>
      </c>
      <c r="N76" s="11">
        <v>0.115</v>
      </c>
      <c r="O76" s="7">
        <v>0.9350000000000001</v>
      </c>
      <c r="P76" s="7">
        <v>0.673</v>
      </c>
      <c r="Q76" s="11">
        <v>0.262</v>
      </c>
      <c r="R76" s="7">
        <v>0.848</v>
      </c>
      <c r="S76" s="7">
        <v>0.702</v>
      </c>
      <c r="T76" s="11">
        <v>0.145</v>
      </c>
      <c r="U76" s="7">
        <v>0.886</v>
      </c>
      <c r="V76" s="7">
        <v>0.734</v>
      </c>
      <c r="W76" s="11">
        <v>0.152</v>
      </c>
      <c r="X76" s="7">
        <v>0.8110000000000001</v>
      </c>
      <c r="Y76" s="7">
        <v>0.751</v>
      </c>
      <c r="Z76" s="11">
        <v>0.06</v>
      </c>
      <c r="AA76" s="7"/>
      <c r="AB76" s="7"/>
      <c r="AC76" s="2"/>
      <c r="AD76" s="7"/>
      <c r="AE76" s="7"/>
      <c r="AF76" s="2"/>
      <c r="AG76" s="7"/>
      <c r="AH76" s="7"/>
      <c r="AI76" s="2"/>
      <c r="AJ76" s="7"/>
      <c r="AK76" s="7"/>
      <c r="AL76" s="2"/>
    </row>
    <row r="77" spans="1:38">
      <c r="A77" s="3" t="s">
        <v>149</v>
      </c>
      <c r="B77" s="3" t="s">
        <v>21</v>
      </c>
      <c r="C77" s="9"/>
      <c r="D77" s="9"/>
      <c r="E77" s="3"/>
      <c r="F77" s="9">
        <v>1</v>
      </c>
      <c r="G77" s="9">
        <v>0.726</v>
      </c>
      <c r="H77" s="11">
        <v>0.274</v>
      </c>
      <c r="I77" s="9">
        <v>0.854</v>
      </c>
      <c r="J77" s="9">
        <v>0.74</v>
      </c>
      <c r="K77" s="11">
        <v>0.114</v>
      </c>
      <c r="L77" s="9">
        <v>0.553</v>
      </c>
      <c r="M77" s="9">
        <v>0.741</v>
      </c>
      <c r="N77" s="10">
        <v>-0.188</v>
      </c>
      <c r="O77" s="9"/>
      <c r="P77" s="9"/>
      <c r="Q77" s="3"/>
      <c r="R77" s="9"/>
      <c r="S77" s="9"/>
      <c r="T77" s="3"/>
      <c r="U77" s="9"/>
      <c r="V77" s="9"/>
      <c r="W77" s="3"/>
      <c r="X77" s="9"/>
      <c r="Y77" s="9"/>
      <c r="Z77" s="3"/>
      <c r="AA77" s="9"/>
      <c r="AB77" s="9"/>
      <c r="AC77" s="3"/>
      <c r="AD77" s="9"/>
      <c r="AE77" s="9"/>
      <c r="AF77" s="3"/>
      <c r="AG77" s="9"/>
      <c r="AH77" s="9"/>
      <c r="AI77" s="3"/>
      <c r="AJ77" s="9"/>
      <c r="AK77" s="9"/>
      <c r="AL77" s="3"/>
    </row>
    <row r="78" spans="1:38">
      <c r="A78" s="2" t="s">
        <v>149</v>
      </c>
      <c r="B78" s="2" t="s">
        <v>126</v>
      </c>
      <c r="C78" s="7">
        <v>0.976</v>
      </c>
      <c r="D78" s="7">
        <v>0.984</v>
      </c>
      <c r="E78" s="10">
        <v>-0.008</v>
      </c>
      <c r="F78" s="7">
        <v>0.951</v>
      </c>
      <c r="G78" s="7">
        <v>0.833</v>
      </c>
      <c r="H78" s="11">
        <v>0.118</v>
      </c>
      <c r="I78" s="7">
        <v>0.78</v>
      </c>
      <c r="J78" s="7">
        <v>0.78</v>
      </c>
      <c r="K78" s="11">
        <v>0</v>
      </c>
      <c r="L78" s="7"/>
      <c r="M78" s="7"/>
      <c r="N78" s="2"/>
      <c r="O78" s="7"/>
      <c r="P78" s="7"/>
      <c r="Q78" s="2"/>
      <c r="R78" s="7"/>
      <c r="S78" s="7"/>
      <c r="T78" s="2"/>
      <c r="U78" s="7"/>
      <c r="V78" s="7"/>
      <c r="W78" s="2"/>
      <c r="X78" s="7"/>
      <c r="Y78" s="7"/>
      <c r="Z78" s="2"/>
      <c r="AA78" s="7"/>
      <c r="AB78" s="7"/>
      <c r="AC78" s="2"/>
      <c r="AD78" s="7"/>
      <c r="AE78" s="7"/>
      <c r="AF78" s="2"/>
      <c r="AG78" s="7"/>
      <c r="AH78" s="7"/>
      <c r="AI78" s="2"/>
      <c r="AJ78" s="7"/>
      <c r="AK78" s="7"/>
      <c r="AL78" s="2"/>
    </row>
    <row r="79" spans="1:38">
      <c r="A79" s="3" t="s">
        <v>149</v>
      </c>
      <c r="B79" s="3" t="s">
        <v>58</v>
      </c>
      <c r="C79" s="9"/>
      <c r="D79" s="9"/>
      <c r="E79" s="3"/>
      <c r="F79" s="9">
        <v>0.768</v>
      </c>
      <c r="G79" s="9">
        <v>0.637</v>
      </c>
      <c r="H79" s="11">
        <v>0.131</v>
      </c>
      <c r="I79" s="9"/>
      <c r="J79" s="9"/>
      <c r="K79" s="3"/>
      <c r="L79" s="9">
        <v>0.317</v>
      </c>
      <c r="M79" s="9">
        <v>0.666</v>
      </c>
      <c r="N79" s="10">
        <v>-0.349</v>
      </c>
      <c r="O79" s="9">
        <v>1</v>
      </c>
      <c r="P79" s="9">
        <v>0.725</v>
      </c>
      <c r="Q79" s="11">
        <v>0.275</v>
      </c>
      <c r="R79" s="9">
        <v>0.671</v>
      </c>
      <c r="S79" s="9">
        <v>0.738</v>
      </c>
      <c r="T79" s="10">
        <v>-0.068</v>
      </c>
      <c r="U79" s="9"/>
      <c r="V79" s="9"/>
      <c r="W79" s="3"/>
      <c r="X79" s="9">
        <v>0.902</v>
      </c>
      <c r="Y79" s="9">
        <v>0.761</v>
      </c>
      <c r="Z79" s="11">
        <v>0.142</v>
      </c>
      <c r="AA79" s="9"/>
      <c r="AB79" s="9"/>
      <c r="AC79" s="3"/>
      <c r="AD79" s="9"/>
      <c r="AE79" s="9"/>
      <c r="AF79" s="3"/>
      <c r="AG79" s="9"/>
      <c r="AH79" s="9"/>
      <c r="AI79" s="3"/>
      <c r="AJ79" s="9"/>
      <c r="AK79" s="9"/>
      <c r="AL79" s="3"/>
    </row>
    <row r="80" spans="1:38">
      <c r="A80" s="2" t="s">
        <v>149</v>
      </c>
      <c r="B80" s="2" t="s">
        <v>127</v>
      </c>
      <c r="C80" s="7">
        <v>0.52</v>
      </c>
      <c r="D80" s="7">
        <v>0.579</v>
      </c>
      <c r="E80" s="10">
        <v>-0.059</v>
      </c>
      <c r="F80" s="7">
        <v>0.622</v>
      </c>
      <c r="G80" s="7">
        <v>0.551</v>
      </c>
      <c r="H80" s="11">
        <v>0.07099999999999999</v>
      </c>
      <c r="I80" s="7">
        <v>0.451</v>
      </c>
      <c r="J80" s="7">
        <v>0.541</v>
      </c>
      <c r="K80" s="10">
        <v>-0.089</v>
      </c>
      <c r="L80" s="7"/>
      <c r="M80" s="7"/>
      <c r="N80" s="2"/>
      <c r="O80" s="7"/>
      <c r="P80" s="7"/>
      <c r="Q80" s="2"/>
      <c r="R80" s="7"/>
      <c r="S80" s="7"/>
      <c r="T80" s="2"/>
      <c r="U80" s="7">
        <v>0.756</v>
      </c>
      <c r="V80" s="7">
        <v>0.635</v>
      </c>
      <c r="W80" s="11">
        <v>0.121</v>
      </c>
      <c r="X80" s="7">
        <v>0.707</v>
      </c>
      <c r="Y80" s="7">
        <v>0.651</v>
      </c>
      <c r="Z80" s="11">
        <v>0.057</v>
      </c>
      <c r="AA80" s="7"/>
      <c r="AB80" s="7"/>
      <c r="AC80" s="2"/>
      <c r="AD80" s="7"/>
      <c r="AE80" s="7"/>
      <c r="AF80" s="2"/>
      <c r="AG80" s="7"/>
      <c r="AH80" s="7"/>
      <c r="AI80" s="2"/>
      <c r="AJ80" s="7"/>
      <c r="AK80" s="7"/>
      <c r="AL80" s="2"/>
    </row>
    <row r="81" spans="1:38">
      <c r="A81" s="3" t="s">
        <v>149</v>
      </c>
      <c r="B81" s="3" t="s">
        <v>57</v>
      </c>
      <c r="C81" s="9">
        <v>0.415</v>
      </c>
      <c r="D81" s="9">
        <v>0.5</v>
      </c>
      <c r="E81" s="10">
        <v>-0.08500000000000001</v>
      </c>
      <c r="F81" s="9">
        <v>0.585</v>
      </c>
      <c r="G81" s="9">
        <v>0.596</v>
      </c>
      <c r="H81" s="10">
        <v>-0.01</v>
      </c>
      <c r="I81" s="9">
        <v>0.642</v>
      </c>
      <c r="J81" s="9">
        <v>0.581</v>
      </c>
      <c r="K81" s="11">
        <v>0.061</v>
      </c>
      <c r="L81" s="9">
        <v>0.549</v>
      </c>
      <c r="M81" s="9">
        <v>0.5610000000000001</v>
      </c>
      <c r="N81" s="10">
        <v>-0.012</v>
      </c>
      <c r="O81" s="9">
        <v>0.9350000000000001</v>
      </c>
      <c r="P81" s="9">
        <v>0.626</v>
      </c>
      <c r="Q81" s="11">
        <v>0.309</v>
      </c>
      <c r="R81" s="9">
        <v>0.602</v>
      </c>
      <c r="S81" s="9">
        <v>0.635</v>
      </c>
      <c r="T81" s="10">
        <v>-0.034</v>
      </c>
      <c r="U81" s="9">
        <v>0.8169999999999999</v>
      </c>
      <c r="V81" s="9">
        <v>0.672</v>
      </c>
      <c r="W81" s="11">
        <v>0.145</v>
      </c>
      <c r="X81" s="9">
        <v>0.695</v>
      </c>
      <c r="Y81" s="9">
        <v>0.6820000000000001</v>
      </c>
      <c r="Z81" s="11">
        <v>0.013</v>
      </c>
      <c r="AA81" s="9"/>
      <c r="AB81" s="9"/>
      <c r="AC81" s="3"/>
      <c r="AD81" s="9"/>
      <c r="AE81" s="9"/>
      <c r="AF81" s="3"/>
      <c r="AG81" s="9"/>
      <c r="AH81" s="9"/>
      <c r="AI81" s="3"/>
      <c r="AJ81" s="9"/>
      <c r="AK81" s="9"/>
      <c r="AL81" s="3"/>
    </row>
    <row r="84" spans="1:38" ht="60" customHeight="1">
      <c r="A84" s="4" t="s">
        <v>226</v>
      </c>
      <c r="B84" s="4"/>
      <c r="C84" s="4"/>
      <c r="D84" s="4"/>
      <c r="E84" s="4"/>
      <c r="F84" s="4"/>
      <c r="G84" s="4"/>
      <c r="H84" s="4"/>
      <c r="I84" s="4"/>
    </row>
    <row r="85" spans="1:38" ht="30" customHeight="1">
      <c r="A85" s="5" t="s">
        <v>218</v>
      </c>
      <c r="B85" s="5"/>
      <c r="C85" s="5"/>
      <c r="D85" s="5"/>
      <c r="E85" s="5"/>
      <c r="F85" s="5"/>
      <c r="G85" s="5"/>
      <c r="H85" s="5"/>
      <c r="I85" s="5"/>
    </row>
  </sheetData>
  <mergeCells count="2">
    <mergeCell ref="A84:I84"/>
    <mergeCell ref="A85:I85"/>
  </mergeCell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D4D4D"/>
  </sheetPr>
  <dimension ref="A1:I17"/>
  <sheetViews>
    <sheetView workbookViewId="0">
      <pane ySplit="1" topLeftCell="A2" activePane="bottomLeft" state="frozen"/>
      <selection pane="bottomLeft"/>
    </sheetView>
  </sheetViews>
  <sheetFormatPr defaultRowHeight="15"/>
  <cols>
    <col min="1" max="1" width="18.7109375" customWidth="1"/>
    <col min="2" max="2" width="12.7109375" customWidth="1"/>
    <col min="3" max="3" width="14.7109375" customWidth="1"/>
    <col min="4" max="4" width="18.7109375" customWidth="1"/>
  </cols>
  <sheetData>
    <row r="1" spans="1:9">
      <c r="A1" s="1" t="s">
        <v>151</v>
      </c>
      <c r="B1" s="1" t="s">
        <v>25</v>
      </c>
      <c r="C1" s="1" t="s">
        <v>26</v>
      </c>
      <c r="D1" s="1" t="s">
        <v>27</v>
      </c>
    </row>
    <row r="2" spans="1:9">
      <c r="A2" s="2" t="s">
        <v>152</v>
      </c>
      <c r="B2" s="6">
        <v>113</v>
      </c>
      <c r="C2" s="6">
        <v>2324</v>
      </c>
      <c r="D2" s="7">
        <v>0.502</v>
      </c>
    </row>
    <row r="3" spans="1:9">
      <c r="A3" s="3" t="s">
        <v>153</v>
      </c>
      <c r="B3" s="8">
        <v>115</v>
      </c>
      <c r="C3" s="8">
        <v>2868</v>
      </c>
      <c r="D3" s="9">
        <v>0.608</v>
      </c>
    </row>
    <row r="4" spans="1:9">
      <c r="A4" s="2" t="s">
        <v>154</v>
      </c>
      <c r="B4" s="6">
        <v>109</v>
      </c>
      <c r="C4" s="6">
        <v>2782</v>
      </c>
      <c r="D4" s="7">
        <v>0.623</v>
      </c>
    </row>
    <row r="5" spans="1:9">
      <c r="A5" s="3" t="s">
        <v>155</v>
      </c>
      <c r="B5" s="8">
        <v>106</v>
      </c>
      <c r="C5" s="8">
        <v>2495</v>
      </c>
      <c r="D5" s="9">
        <v>0.574</v>
      </c>
    </row>
    <row r="6" spans="1:9">
      <c r="A6" s="18" t="s">
        <v>156</v>
      </c>
      <c r="B6" s="19">
        <v>113</v>
      </c>
      <c r="C6" s="19">
        <v>3678</v>
      </c>
      <c r="D6" s="20">
        <v>0.794</v>
      </c>
    </row>
    <row r="7" spans="1:9">
      <c r="A7" s="18" t="s">
        <v>157</v>
      </c>
      <c r="B7" s="19">
        <v>105</v>
      </c>
      <c r="C7" s="19">
        <v>3193</v>
      </c>
      <c r="D7" s="20">
        <v>0.742</v>
      </c>
    </row>
    <row r="8" spans="1:9">
      <c r="A8" s="18" t="s">
        <v>158</v>
      </c>
      <c r="B8" s="19">
        <v>113</v>
      </c>
      <c r="C8" s="19">
        <v>3752</v>
      </c>
      <c r="D8" s="20">
        <v>0.8100000000000001</v>
      </c>
    </row>
    <row r="9" spans="1:9">
      <c r="A9" s="18" t="s">
        <v>159</v>
      </c>
      <c r="B9" s="19">
        <v>100</v>
      </c>
      <c r="C9" s="19">
        <v>3080</v>
      </c>
      <c r="D9" s="20">
        <v>0.751</v>
      </c>
    </row>
    <row r="10" spans="1:9">
      <c r="A10" s="2" t="s">
        <v>160</v>
      </c>
      <c r="B10" s="6">
        <v>91</v>
      </c>
      <c r="C10" s="6">
        <v>2586</v>
      </c>
      <c r="D10" s="7">
        <v>0.6929999999999999</v>
      </c>
    </row>
    <row r="11" spans="1:9">
      <c r="A11" s="3" t="s">
        <v>161</v>
      </c>
      <c r="B11" s="8">
        <v>93</v>
      </c>
      <c r="C11" s="8">
        <v>2442</v>
      </c>
      <c r="D11" s="9">
        <v>0.64</v>
      </c>
    </row>
    <row r="12" spans="1:9">
      <c r="A12" s="2" t="s">
        <v>162</v>
      </c>
      <c r="B12" s="6">
        <v>95</v>
      </c>
      <c r="C12" s="6">
        <v>2169</v>
      </c>
      <c r="D12" s="7">
        <v>0.5570000000000001</v>
      </c>
    </row>
    <row r="13" spans="1:9">
      <c r="A13" s="3" t="s">
        <v>13</v>
      </c>
      <c r="B13" s="8">
        <v>88</v>
      </c>
      <c r="C13" s="8">
        <v>1888</v>
      </c>
      <c r="D13" s="9">
        <v>0.523</v>
      </c>
    </row>
    <row r="16" spans="1:9" ht="60" customHeight="1">
      <c r="A16" s="4" t="s">
        <v>227</v>
      </c>
      <c r="B16" s="4"/>
      <c r="C16" s="4"/>
      <c r="D16" s="4"/>
      <c r="E16" s="4"/>
      <c r="F16" s="4"/>
      <c r="G16" s="4"/>
      <c r="H16" s="4"/>
      <c r="I16" s="4"/>
    </row>
    <row r="17" spans="1:9" ht="30" customHeight="1">
      <c r="A17" s="5" t="s">
        <v>218</v>
      </c>
      <c r="B17" s="5"/>
      <c r="C17" s="5"/>
      <c r="D17" s="5"/>
      <c r="E17" s="5"/>
      <c r="F17" s="5"/>
      <c r="G17" s="5"/>
      <c r="H17" s="5"/>
      <c r="I17" s="5"/>
    </row>
  </sheetData>
  <mergeCells count="2">
    <mergeCell ref="A16:I16"/>
    <mergeCell ref="A17:I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D4D4D"/>
  </sheetPr>
  <dimension ref="A1:I58"/>
  <sheetViews>
    <sheetView workbookViewId="0">
      <pane ySplit="1" topLeftCell="A2" activePane="bottomLeft" state="frozen"/>
      <selection pane="bottomLeft"/>
    </sheetView>
  </sheetViews>
  <sheetFormatPr defaultRowHeight="15"/>
  <cols>
    <col min="1" max="1" width="28.7109375" customWidth="1"/>
    <col min="2" max="2" width="12.7109375" customWidth="1"/>
    <col min="3" max="3" width="14.7109375" customWidth="1"/>
    <col min="4" max="4" width="18.7109375" customWidth="1"/>
  </cols>
  <sheetData>
    <row r="1" spans="1:4">
      <c r="A1" s="1" t="s">
        <v>163</v>
      </c>
      <c r="B1" s="1" t="s">
        <v>25</v>
      </c>
      <c r="C1" s="1" t="s">
        <v>26</v>
      </c>
      <c r="D1" s="1" t="s">
        <v>27</v>
      </c>
    </row>
    <row r="2" spans="1:4">
      <c r="A2" s="2" t="s">
        <v>164</v>
      </c>
      <c r="B2" s="6">
        <v>24</v>
      </c>
      <c r="C2" s="6">
        <v>447</v>
      </c>
      <c r="D2" s="7">
        <v>0.454</v>
      </c>
    </row>
    <row r="3" spans="1:4">
      <c r="A3" s="3" t="s">
        <v>165</v>
      </c>
      <c r="B3" s="8">
        <v>26</v>
      </c>
      <c r="C3" s="8">
        <v>489</v>
      </c>
      <c r="D3" s="9">
        <v>0.459</v>
      </c>
    </row>
    <row r="4" spans="1:4">
      <c r="A4" s="2" t="s">
        <v>166</v>
      </c>
      <c r="B4" s="6">
        <v>27</v>
      </c>
      <c r="C4" s="6">
        <v>576</v>
      </c>
      <c r="D4" s="7">
        <v>0.52</v>
      </c>
    </row>
    <row r="5" spans="1:4">
      <c r="A5" s="3" t="s">
        <v>167</v>
      </c>
      <c r="B5" s="8">
        <v>27</v>
      </c>
      <c r="C5" s="8">
        <v>615</v>
      </c>
      <c r="D5" s="9">
        <v>0.556</v>
      </c>
    </row>
    <row r="6" spans="1:4">
      <c r="A6" s="2" t="s">
        <v>168</v>
      </c>
      <c r="B6" s="6">
        <v>27</v>
      </c>
      <c r="C6" s="6">
        <v>611</v>
      </c>
      <c r="D6" s="7">
        <v>0.552</v>
      </c>
    </row>
    <row r="7" spans="1:4">
      <c r="A7" s="3" t="s">
        <v>169</v>
      </c>
      <c r="B7" s="8">
        <v>25</v>
      </c>
      <c r="C7" s="8">
        <v>521</v>
      </c>
      <c r="D7" s="9">
        <v>0.508</v>
      </c>
    </row>
    <row r="8" spans="1:4">
      <c r="A8" s="2" t="s">
        <v>170</v>
      </c>
      <c r="B8" s="6">
        <v>25</v>
      </c>
      <c r="C8" s="6">
        <v>713</v>
      </c>
      <c r="D8" s="7">
        <v>0.696</v>
      </c>
    </row>
    <row r="9" spans="1:4">
      <c r="A9" s="3" t="s">
        <v>171</v>
      </c>
      <c r="B9" s="8">
        <v>27</v>
      </c>
      <c r="C9" s="8">
        <v>751</v>
      </c>
      <c r="D9" s="9">
        <v>0.678</v>
      </c>
    </row>
    <row r="10" spans="1:4">
      <c r="A10" s="2" t="s">
        <v>172</v>
      </c>
      <c r="B10" s="6">
        <v>27</v>
      </c>
      <c r="C10" s="6">
        <v>584</v>
      </c>
      <c r="D10" s="7">
        <v>0.528</v>
      </c>
    </row>
    <row r="11" spans="1:4">
      <c r="A11" s="3" t="s">
        <v>173</v>
      </c>
      <c r="B11" s="8">
        <v>27</v>
      </c>
      <c r="C11" s="8">
        <v>547</v>
      </c>
      <c r="D11" s="9">
        <v>0.494</v>
      </c>
    </row>
    <row r="12" spans="1:4">
      <c r="A12" s="2" t="s">
        <v>174</v>
      </c>
      <c r="B12" s="6">
        <v>26</v>
      </c>
      <c r="C12" s="6">
        <v>721</v>
      </c>
      <c r="D12" s="7">
        <v>0.676</v>
      </c>
    </row>
    <row r="13" spans="1:4">
      <c r="A13" s="18" t="s">
        <v>175</v>
      </c>
      <c r="B13" s="19">
        <v>24</v>
      </c>
      <c r="C13" s="19">
        <v>692</v>
      </c>
      <c r="D13" s="20">
        <v>0.703</v>
      </c>
    </row>
    <row r="14" spans="1:4">
      <c r="A14" s="2" t="s">
        <v>176</v>
      </c>
      <c r="B14" s="6">
        <v>25</v>
      </c>
      <c r="C14" s="6">
        <v>707</v>
      </c>
      <c r="D14" s="7">
        <v>0.6899999999999999</v>
      </c>
    </row>
    <row r="15" spans="1:4">
      <c r="A15" s="3" t="s">
        <v>177</v>
      </c>
      <c r="B15" s="8">
        <v>27</v>
      </c>
      <c r="C15" s="8">
        <v>720</v>
      </c>
      <c r="D15" s="9">
        <v>0.65</v>
      </c>
    </row>
    <row r="16" spans="1:4">
      <c r="A16" s="2" t="s">
        <v>178</v>
      </c>
      <c r="B16" s="6">
        <v>25</v>
      </c>
      <c r="C16" s="6">
        <v>637</v>
      </c>
      <c r="D16" s="7">
        <v>0.621</v>
      </c>
    </row>
    <row r="17" spans="1:4">
      <c r="A17" s="3" t="s">
        <v>179</v>
      </c>
      <c r="B17" s="8">
        <v>27</v>
      </c>
      <c r="C17" s="8">
        <v>584</v>
      </c>
      <c r="D17" s="9">
        <v>0.528</v>
      </c>
    </row>
    <row r="18" spans="1:4">
      <c r="A18" s="2" t="s">
        <v>180</v>
      </c>
      <c r="B18" s="6">
        <v>17</v>
      </c>
      <c r="C18" s="6">
        <v>352</v>
      </c>
      <c r="D18" s="7">
        <v>0.505</v>
      </c>
    </row>
    <row r="19" spans="1:4">
      <c r="A19" s="3" t="s">
        <v>181</v>
      </c>
      <c r="B19" s="8">
        <v>22</v>
      </c>
      <c r="C19" s="8">
        <v>609</v>
      </c>
      <c r="D19" s="9">
        <v>0.675</v>
      </c>
    </row>
    <row r="20" spans="1:4">
      <c r="A20" s="18" t="s">
        <v>182</v>
      </c>
      <c r="B20" s="19">
        <v>27</v>
      </c>
      <c r="C20" s="19">
        <v>873</v>
      </c>
      <c r="D20" s="20">
        <v>0.789</v>
      </c>
    </row>
    <row r="21" spans="1:4">
      <c r="A21" s="18" t="s">
        <v>183</v>
      </c>
      <c r="B21" s="19">
        <v>26</v>
      </c>
      <c r="C21" s="19">
        <v>899</v>
      </c>
      <c r="D21" s="20">
        <v>0.843</v>
      </c>
    </row>
    <row r="22" spans="1:4">
      <c r="A22" s="18" t="s">
        <v>184</v>
      </c>
      <c r="B22" s="19">
        <v>26</v>
      </c>
      <c r="C22" s="19">
        <v>814</v>
      </c>
      <c r="D22" s="20">
        <v>0.764</v>
      </c>
    </row>
    <row r="23" spans="1:4">
      <c r="A23" s="18" t="s">
        <v>185</v>
      </c>
      <c r="B23" s="19">
        <v>26</v>
      </c>
      <c r="C23" s="19">
        <v>820</v>
      </c>
      <c r="D23" s="20">
        <v>0.769</v>
      </c>
    </row>
    <row r="24" spans="1:4">
      <c r="A24" s="18" t="s">
        <v>186</v>
      </c>
      <c r="B24" s="19">
        <v>27</v>
      </c>
      <c r="C24" s="19">
        <v>914</v>
      </c>
      <c r="D24" s="20">
        <v>0.826</v>
      </c>
    </row>
    <row r="25" spans="1:4">
      <c r="A25" s="18" t="s">
        <v>187</v>
      </c>
      <c r="B25" s="19">
        <v>28</v>
      </c>
      <c r="C25" s="19">
        <v>901</v>
      </c>
      <c r="D25" s="20">
        <v>0.785</v>
      </c>
    </row>
    <row r="26" spans="1:4">
      <c r="A26" s="2" t="s">
        <v>188</v>
      </c>
      <c r="B26" s="6">
        <v>23</v>
      </c>
      <c r="C26" s="6">
        <v>575</v>
      </c>
      <c r="D26" s="7">
        <v>0.61</v>
      </c>
    </row>
    <row r="27" spans="1:4">
      <c r="A27" s="18" t="s">
        <v>189</v>
      </c>
      <c r="B27" s="19">
        <v>27</v>
      </c>
      <c r="C27" s="19">
        <v>791</v>
      </c>
      <c r="D27" s="20">
        <v>0.715</v>
      </c>
    </row>
    <row r="28" spans="1:4">
      <c r="A28" s="18" t="s">
        <v>190</v>
      </c>
      <c r="B28" s="19">
        <v>27</v>
      </c>
      <c r="C28" s="19">
        <v>832</v>
      </c>
      <c r="D28" s="20">
        <v>0.752</v>
      </c>
    </row>
    <row r="29" spans="1:4">
      <c r="A29" s="3" t="s">
        <v>191</v>
      </c>
      <c r="B29" s="8">
        <v>25</v>
      </c>
      <c r="C29" s="8">
        <v>714</v>
      </c>
      <c r="D29" s="9">
        <v>0.697</v>
      </c>
    </row>
    <row r="30" spans="1:4">
      <c r="A30" s="18" t="s">
        <v>192</v>
      </c>
      <c r="B30" s="19">
        <v>25</v>
      </c>
      <c r="C30" s="19">
        <v>931</v>
      </c>
      <c r="D30" s="20">
        <v>0.908</v>
      </c>
    </row>
    <row r="31" spans="1:4">
      <c r="A31" s="18" t="s">
        <v>193</v>
      </c>
      <c r="B31" s="19">
        <v>25</v>
      </c>
      <c r="C31" s="19">
        <v>917</v>
      </c>
      <c r="D31" s="20">
        <v>0.895</v>
      </c>
    </row>
    <row r="32" spans="1:4">
      <c r="A32" s="18" t="s">
        <v>194</v>
      </c>
      <c r="B32" s="19">
        <v>21</v>
      </c>
      <c r="C32" s="19">
        <v>695</v>
      </c>
      <c r="D32" s="20">
        <v>0.8070000000000001</v>
      </c>
    </row>
    <row r="33" spans="1:4">
      <c r="A33" s="18" t="s">
        <v>195</v>
      </c>
      <c r="B33" s="19">
        <v>24</v>
      </c>
      <c r="C33" s="19">
        <v>835</v>
      </c>
      <c r="D33" s="20">
        <v>0.847</v>
      </c>
    </row>
    <row r="34" spans="1:4">
      <c r="A34" s="18" t="s">
        <v>196</v>
      </c>
      <c r="B34" s="19">
        <v>24</v>
      </c>
      <c r="C34" s="19">
        <v>749</v>
      </c>
      <c r="D34" s="20">
        <v>0.761</v>
      </c>
    </row>
    <row r="35" spans="1:4">
      <c r="A35" s="18" t="s">
        <v>197</v>
      </c>
      <c r="B35" s="19">
        <v>23</v>
      </c>
      <c r="C35" s="19">
        <v>673</v>
      </c>
      <c r="D35" s="20">
        <v>0.714</v>
      </c>
    </row>
    <row r="36" spans="1:4">
      <c r="A36" s="2" t="s">
        <v>198</v>
      </c>
      <c r="B36" s="6">
        <v>24</v>
      </c>
      <c r="C36" s="6">
        <v>572</v>
      </c>
      <c r="D36" s="7">
        <v>0.581</v>
      </c>
    </row>
    <row r="37" spans="1:4">
      <c r="A37" s="18" t="s">
        <v>199</v>
      </c>
      <c r="B37" s="19">
        <v>19</v>
      </c>
      <c r="C37" s="19">
        <v>551</v>
      </c>
      <c r="D37" s="20">
        <v>0.706</v>
      </c>
    </row>
    <row r="38" spans="1:4">
      <c r="A38" s="18" t="s">
        <v>200</v>
      </c>
      <c r="B38" s="19">
        <v>18</v>
      </c>
      <c r="C38" s="19">
        <v>559</v>
      </c>
      <c r="D38" s="20">
        <v>0.757</v>
      </c>
    </row>
    <row r="39" spans="1:4">
      <c r="A39" s="3" t="s">
        <v>201</v>
      </c>
      <c r="B39" s="8">
        <v>21</v>
      </c>
      <c r="C39" s="8">
        <v>591</v>
      </c>
      <c r="D39" s="9">
        <v>0.6860000000000001</v>
      </c>
    </row>
    <row r="40" spans="1:4">
      <c r="A40" s="2" t="s">
        <v>202</v>
      </c>
      <c r="B40" s="6">
        <v>24</v>
      </c>
      <c r="C40" s="6">
        <v>676</v>
      </c>
      <c r="D40" s="7">
        <v>0.6870000000000001</v>
      </c>
    </row>
    <row r="41" spans="1:4">
      <c r="A41" s="3" t="s">
        <v>203</v>
      </c>
      <c r="B41" s="8">
        <v>23</v>
      </c>
      <c r="C41" s="8">
        <v>647</v>
      </c>
      <c r="D41" s="9">
        <v>0.6860000000000001</v>
      </c>
    </row>
    <row r="42" spans="1:4">
      <c r="A42" s="2" t="s">
        <v>204</v>
      </c>
      <c r="B42" s="6">
        <v>22</v>
      </c>
      <c r="C42" s="6">
        <v>603</v>
      </c>
      <c r="D42" s="7">
        <v>0.669</v>
      </c>
    </row>
    <row r="43" spans="1:4">
      <c r="A43" s="3" t="s">
        <v>205</v>
      </c>
      <c r="B43" s="8">
        <v>22</v>
      </c>
      <c r="C43" s="8">
        <v>568</v>
      </c>
      <c r="D43" s="9">
        <v>0.63</v>
      </c>
    </row>
    <row r="44" spans="1:4">
      <c r="A44" s="2" t="s">
        <v>206</v>
      </c>
      <c r="B44" s="6">
        <v>19</v>
      </c>
      <c r="C44" s="6">
        <v>455</v>
      </c>
      <c r="D44" s="7">
        <v>0.584</v>
      </c>
    </row>
    <row r="45" spans="1:4">
      <c r="A45" s="3" t="s">
        <v>207</v>
      </c>
      <c r="B45" s="8">
        <v>23</v>
      </c>
      <c r="C45" s="8">
        <v>562</v>
      </c>
      <c r="D45" s="9">
        <v>0.596</v>
      </c>
    </row>
    <row r="46" spans="1:4">
      <c r="A46" s="2" t="s">
        <v>208</v>
      </c>
      <c r="B46" s="6">
        <v>22</v>
      </c>
      <c r="C46" s="6">
        <v>444</v>
      </c>
      <c r="D46" s="7">
        <v>0.492</v>
      </c>
    </row>
    <row r="47" spans="1:4">
      <c r="A47" s="3" t="s">
        <v>209</v>
      </c>
      <c r="B47" s="8">
        <v>20</v>
      </c>
      <c r="C47" s="8">
        <v>501</v>
      </c>
      <c r="D47" s="9">
        <v>0.611</v>
      </c>
    </row>
    <row r="48" spans="1:4">
      <c r="A48" s="2" t="s">
        <v>210</v>
      </c>
      <c r="B48" s="6">
        <v>21</v>
      </c>
      <c r="C48" s="6">
        <v>495</v>
      </c>
      <c r="D48" s="7">
        <v>0.575</v>
      </c>
    </row>
    <row r="49" spans="1:9">
      <c r="A49" s="3" t="s">
        <v>211</v>
      </c>
      <c r="B49" s="8">
        <v>19</v>
      </c>
      <c r="C49" s="8">
        <v>427</v>
      </c>
      <c r="D49" s="9">
        <v>0.548</v>
      </c>
    </row>
    <row r="50" spans="1:9">
      <c r="A50" s="2" t="s">
        <v>212</v>
      </c>
      <c r="B50" s="6">
        <v>20</v>
      </c>
      <c r="C50" s="6">
        <v>471</v>
      </c>
      <c r="D50" s="7">
        <v>0.574</v>
      </c>
    </row>
    <row r="51" spans="1:9">
      <c r="A51" s="3" t="s">
        <v>213</v>
      </c>
      <c r="B51" s="8">
        <v>19</v>
      </c>
      <c r="C51" s="8">
        <v>395</v>
      </c>
      <c r="D51" s="9">
        <v>0.507</v>
      </c>
    </row>
    <row r="52" spans="1:9">
      <c r="A52" s="2" t="s">
        <v>214</v>
      </c>
      <c r="B52" s="6">
        <v>21</v>
      </c>
      <c r="C52" s="6">
        <v>434</v>
      </c>
      <c r="D52" s="7">
        <v>0.504</v>
      </c>
    </row>
    <row r="53" spans="1:9">
      <c r="A53" s="3" t="s">
        <v>215</v>
      </c>
      <c r="B53" s="8">
        <v>22</v>
      </c>
      <c r="C53" s="8">
        <v>437</v>
      </c>
      <c r="D53" s="9">
        <v>0.484</v>
      </c>
    </row>
    <row r="54" spans="1:9">
      <c r="A54" s="2" t="s">
        <v>216</v>
      </c>
      <c r="B54" s="6">
        <v>3</v>
      </c>
      <c r="C54" s="6">
        <v>60</v>
      </c>
      <c r="D54" s="7">
        <v>0.488</v>
      </c>
    </row>
    <row r="57" spans="1:9" ht="60" customHeight="1">
      <c r="A57" s="4" t="s">
        <v>228</v>
      </c>
      <c r="B57" s="4"/>
      <c r="C57" s="4"/>
      <c r="D57" s="4"/>
      <c r="E57" s="4"/>
      <c r="F57" s="4"/>
      <c r="G57" s="4"/>
      <c r="H57" s="4"/>
      <c r="I57" s="4"/>
    </row>
    <row r="58" spans="1:9" ht="30" customHeight="1">
      <c r="A58" s="5" t="s">
        <v>218</v>
      </c>
      <c r="B58" s="5"/>
      <c r="C58" s="5"/>
      <c r="D58" s="5"/>
      <c r="E58" s="5"/>
      <c r="F58" s="5"/>
      <c r="G58" s="5"/>
      <c r="H58" s="5"/>
      <c r="I58" s="5"/>
    </row>
  </sheetData>
  <mergeCells count="2">
    <mergeCell ref="A57:I57"/>
    <mergeCell ref="A58:I58"/>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BBD7ED"/>
  </sheetPr>
  <dimension ref="A1:E60"/>
  <sheetViews>
    <sheetView workbookViewId="0"/>
  </sheetViews>
  <sheetFormatPr defaultRowHeight="15"/>
  <cols>
    <col min="1" max="1" width="26.7109375" customWidth="1"/>
    <col min="2" max="9" width="16.7109375" customWidth="1"/>
  </cols>
  <sheetData>
    <row r="1" spans="1:5">
      <c r="A1" s="21" t="s">
        <v>229</v>
      </c>
      <c r="B1" s="21"/>
      <c r="C1" s="21"/>
      <c r="D1" s="21"/>
      <c r="E1" s="21"/>
    </row>
    <row r="3" spans="1:5">
      <c r="A3" s="22" t="s">
        <v>230</v>
      </c>
      <c r="B3" s="22"/>
      <c r="C3" s="22"/>
      <c r="D3" s="22"/>
      <c r="E3" s="22"/>
    </row>
    <row r="4" spans="1:5">
      <c r="A4" s="23" t="s">
        <v>231</v>
      </c>
      <c r="B4" s="24">
        <v>131</v>
      </c>
    </row>
    <row r="5" spans="1:5">
      <c r="A5" s="23" t="s">
        <v>232</v>
      </c>
      <c r="B5" s="25">
        <v>4.2</v>
      </c>
    </row>
    <row r="6" spans="1:5">
      <c r="A6" s="23" t="s">
        <v>233</v>
      </c>
      <c r="B6" s="26">
        <v>-0.06666666666666662</v>
      </c>
    </row>
    <row r="8" spans="1:5">
      <c r="A8" s="22" t="s">
        <v>234</v>
      </c>
      <c r="B8" s="22"/>
      <c r="C8" s="22"/>
      <c r="D8" s="22"/>
      <c r="E8" s="22"/>
    </row>
    <row r="9" spans="1:5">
      <c r="A9" s="23" t="s">
        <v>235</v>
      </c>
      <c r="B9" s="24">
        <v>473</v>
      </c>
    </row>
    <row r="10" spans="1:5">
      <c r="A10" s="23" t="s">
        <v>236</v>
      </c>
      <c r="B10" s="24">
        <v>503</v>
      </c>
    </row>
    <row r="11" spans="1:5">
      <c r="A11" s="23" t="s">
        <v>237</v>
      </c>
      <c r="B11" s="27">
        <v>21450.81</v>
      </c>
    </row>
    <row r="12" spans="1:5">
      <c r="A12" s="23" t="s">
        <v>238</v>
      </c>
      <c r="B12" s="24">
        <v>17</v>
      </c>
    </row>
    <row r="14" spans="1:5">
      <c r="A14" s="22" t="s">
        <v>239</v>
      </c>
      <c r="B14" s="22"/>
      <c r="C14" s="22"/>
      <c r="D14" s="22"/>
      <c r="E14" s="22"/>
    </row>
    <row r="15" spans="1:5">
      <c r="A15" s="28" t="s">
        <v>240</v>
      </c>
      <c r="B15" s="28" t="s">
        <v>241</v>
      </c>
      <c r="C15" s="28" t="s">
        <v>242</v>
      </c>
      <c r="D15" s="28" t="s">
        <v>243</v>
      </c>
      <c r="E15" s="28" t="s">
        <v>244</v>
      </c>
    </row>
    <row r="16" spans="1:5">
      <c r="A16" s="23" t="s">
        <v>245</v>
      </c>
      <c r="B16" s="24">
        <v>440</v>
      </c>
      <c r="C16" s="24">
        <v>470</v>
      </c>
      <c r="D16" s="27">
        <v>18254.04</v>
      </c>
      <c r="E16" s="29">
        <v>0.8509720611948919</v>
      </c>
    </row>
    <row r="17" spans="1:5">
      <c r="A17" s="23" t="s">
        <v>246</v>
      </c>
      <c r="B17" s="24">
        <v>16</v>
      </c>
      <c r="C17" s="24">
        <v>16</v>
      </c>
      <c r="D17" s="27">
        <v>2236.27</v>
      </c>
      <c r="E17" s="29">
        <v>0.1042510749011343</v>
      </c>
    </row>
    <row r="18" spans="1:5">
      <c r="A18" s="23" t="s">
        <v>247</v>
      </c>
      <c r="B18" s="24">
        <v>17</v>
      </c>
      <c r="C18" s="24">
        <v>17</v>
      </c>
      <c r="D18" s="27">
        <v>960.5</v>
      </c>
      <c r="E18" s="29">
        <v>0.04477686390397378</v>
      </c>
    </row>
    <row r="19" spans="1:5">
      <c r="A19" s="23" t="s">
        <v>248</v>
      </c>
      <c r="B19" s="24">
        <v>473</v>
      </c>
      <c r="C19" s="24">
        <v>503</v>
      </c>
      <c r="D19" s="27">
        <v>21450.81</v>
      </c>
      <c r="E19" s="29">
        <v>1</v>
      </c>
    </row>
    <row r="21" spans="1:5">
      <c r="A21" s="22" t="s">
        <v>249</v>
      </c>
      <c r="B21" s="22"/>
      <c r="C21" s="22"/>
      <c r="D21" s="22"/>
    </row>
    <row r="22" spans="1:5">
      <c r="A22" s="28" t="s">
        <v>250</v>
      </c>
      <c r="B22" s="28" t="s">
        <v>245</v>
      </c>
      <c r="C22" s="28" t="s">
        <v>246</v>
      </c>
      <c r="D22" s="28" t="s">
        <v>247</v>
      </c>
      <c r="E22" s="28" t="s">
        <v>248</v>
      </c>
    </row>
    <row r="23" spans="1:5">
      <c r="A23" s="23" t="s">
        <v>251</v>
      </c>
      <c r="B23" s="24">
        <v>0</v>
      </c>
      <c r="C23" s="24">
        <v>0</v>
      </c>
      <c r="D23" s="24">
        <v>1</v>
      </c>
      <c r="E23" s="24">
        <v>1</v>
      </c>
    </row>
    <row r="24" spans="1:5">
      <c r="A24" s="23" t="s">
        <v>71</v>
      </c>
      <c r="B24" s="24">
        <v>5</v>
      </c>
      <c r="C24" s="24">
        <v>0</v>
      </c>
      <c r="D24" s="24">
        <v>0</v>
      </c>
      <c r="E24" s="24">
        <v>5</v>
      </c>
    </row>
    <row r="25" spans="1:5">
      <c r="A25" s="23" t="s">
        <v>72</v>
      </c>
      <c r="B25" s="24">
        <v>6</v>
      </c>
      <c r="C25" s="24">
        <v>1</v>
      </c>
      <c r="D25" s="24">
        <v>1</v>
      </c>
      <c r="E25" s="24">
        <v>8</v>
      </c>
    </row>
    <row r="26" spans="1:5">
      <c r="A26" s="23" t="s">
        <v>31</v>
      </c>
      <c r="B26" s="24">
        <v>21</v>
      </c>
      <c r="C26" s="24">
        <v>2</v>
      </c>
      <c r="D26" s="24">
        <v>0</v>
      </c>
      <c r="E26" s="24">
        <v>23</v>
      </c>
    </row>
    <row r="27" spans="1:5">
      <c r="A27" s="23" t="s">
        <v>32</v>
      </c>
      <c r="B27" s="24">
        <v>24</v>
      </c>
      <c r="C27" s="24">
        <v>0</v>
      </c>
      <c r="D27" s="24">
        <v>0</v>
      </c>
      <c r="E27" s="24">
        <v>24</v>
      </c>
    </row>
    <row r="28" spans="1:5">
      <c r="A28" s="23" t="s">
        <v>252</v>
      </c>
      <c r="B28" s="24">
        <v>25</v>
      </c>
      <c r="C28" s="24">
        <v>2</v>
      </c>
      <c r="D28" s="24">
        <v>2</v>
      </c>
      <c r="E28" s="24">
        <v>29</v>
      </c>
    </row>
    <row r="29" spans="1:5">
      <c r="A29" s="23" t="s">
        <v>253</v>
      </c>
      <c r="B29" s="24">
        <v>31</v>
      </c>
      <c r="C29" s="24">
        <v>0</v>
      </c>
      <c r="D29" s="24">
        <v>0</v>
      </c>
      <c r="E29" s="24">
        <v>31</v>
      </c>
    </row>
    <row r="30" spans="1:5">
      <c r="A30" s="23" t="s">
        <v>254</v>
      </c>
      <c r="B30" s="24">
        <v>27</v>
      </c>
      <c r="C30" s="24">
        <v>1</v>
      </c>
      <c r="D30" s="24">
        <v>1</v>
      </c>
      <c r="E30" s="24">
        <v>29</v>
      </c>
    </row>
    <row r="31" spans="1:5">
      <c r="A31" s="23" t="s">
        <v>255</v>
      </c>
      <c r="B31" s="24">
        <v>41</v>
      </c>
      <c r="C31" s="24">
        <v>2</v>
      </c>
      <c r="D31" s="24">
        <v>3</v>
      </c>
      <c r="E31" s="24">
        <v>46</v>
      </c>
    </row>
    <row r="32" spans="1:5">
      <c r="A32" s="23" t="s">
        <v>256</v>
      </c>
      <c r="B32" s="24">
        <v>36</v>
      </c>
      <c r="C32" s="24">
        <v>0</v>
      </c>
      <c r="D32" s="24">
        <v>1</v>
      </c>
      <c r="E32" s="24">
        <v>37</v>
      </c>
    </row>
    <row r="33" spans="1:5">
      <c r="A33" s="23" t="s">
        <v>257</v>
      </c>
      <c r="B33" s="24">
        <v>29</v>
      </c>
      <c r="C33" s="24">
        <v>0</v>
      </c>
      <c r="D33" s="24">
        <v>0</v>
      </c>
      <c r="E33" s="24">
        <v>29</v>
      </c>
    </row>
    <row r="34" spans="1:5">
      <c r="A34" s="23" t="s">
        <v>258</v>
      </c>
      <c r="B34" s="24">
        <v>33</v>
      </c>
      <c r="C34" s="24">
        <v>1</v>
      </c>
      <c r="D34" s="24">
        <v>1</v>
      </c>
      <c r="E34" s="24">
        <v>35</v>
      </c>
    </row>
    <row r="35" spans="1:5">
      <c r="A35" s="23" t="s">
        <v>34</v>
      </c>
      <c r="B35" s="24">
        <v>25</v>
      </c>
      <c r="C35" s="24">
        <v>1</v>
      </c>
      <c r="D35" s="24">
        <v>1</v>
      </c>
      <c r="E35" s="24">
        <v>27</v>
      </c>
    </row>
    <row r="36" spans="1:5">
      <c r="A36" s="23" t="s">
        <v>259</v>
      </c>
      <c r="B36" s="24">
        <v>24</v>
      </c>
      <c r="C36" s="24">
        <v>1</v>
      </c>
      <c r="D36" s="24">
        <v>0</v>
      </c>
      <c r="E36" s="24">
        <v>25</v>
      </c>
    </row>
    <row r="37" spans="1:5">
      <c r="A37" s="23" t="s">
        <v>260</v>
      </c>
      <c r="B37" s="24">
        <v>41</v>
      </c>
      <c r="C37" s="24">
        <v>0</v>
      </c>
      <c r="D37" s="24">
        <v>1</v>
      </c>
      <c r="E37" s="24">
        <v>42</v>
      </c>
    </row>
    <row r="38" spans="1:5">
      <c r="A38" s="23" t="s">
        <v>261</v>
      </c>
      <c r="B38" s="24">
        <v>22</v>
      </c>
      <c r="C38" s="24">
        <v>1</v>
      </c>
      <c r="D38" s="24">
        <v>1</v>
      </c>
      <c r="E38" s="24">
        <v>24</v>
      </c>
    </row>
    <row r="39" spans="1:5">
      <c r="A39" s="23" t="s">
        <v>262</v>
      </c>
      <c r="B39" s="24">
        <v>45</v>
      </c>
      <c r="C39" s="24">
        <v>1</v>
      </c>
      <c r="D39" s="24">
        <v>1</v>
      </c>
      <c r="E39" s="24">
        <v>47</v>
      </c>
    </row>
    <row r="40" spans="1:5">
      <c r="A40" s="23" t="s">
        <v>263</v>
      </c>
      <c r="B40" s="24">
        <v>21</v>
      </c>
      <c r="C40" s="24">
        <v>1</v>
      </c>
      <c r="D40" s="24">
        <v>0</v>
      </c>
      <c r="E40" s="24">
        <v>22</v>
      </c>
    </row>
    <row r="41" spans="1:5">
      <c r="A41" s="23" t="s">
        <v>264</v>
      </c>
      <c r="B41" s="24">
        <v>7</v>
      </c>
      <c r="C41" s="24">
        <v>0</v>
      </c>
      <c r="D41" s="24">
        <v>2</v>
      </c>
      <c r="E41" s="24">
        <v>9</v>
      </c>
    </row>
    <row r="42" spans="1:5">
      <c r="A42" s="23" t="s">
        <v>265</v>
      </c>
      <c r="B42" s="24">
        <v>4</v>
      </c>
      <c r="C42" s="24">
        <v>1</v>
      </c>
      <c r="D42" s="24">
        <v>0</v>
      </c>
      <c r="E42" s="24">
        <v>5</v>
      </c>
    </row>
    <row r="43" spans="1:5">
      <c r="A43" s="23" t="s">
        <v>266</v>
      </c>
      <c r="B43" s="24">
        <v>0</v>
      </c>
      <c r="C43" s="24">
        <v>1</v>
      </c>
      <c r="D43" s="24">
        <v>0</v>
      </c>
      <c r="E43" s="24">
        <v>1</v>
      </c>
    </row>
    <row r="44" spans="1:5">
      <c r="A44" s="23" t="s">
        <v>267</v>
      </c>
      <c r="B44" s="24">
        <v>2</v>
      </c>
      <c r="C44" s="24">
        <v>0</v>
      </c>
      <c r="D44" s="24">
        <v>0</v>
      </c>
      <c r="E44" s="24">
        <v>2</v>
      </c>
    </row>
    <row r="45" spans="1:5">
      <c r="A45" s="23" t="s">
        <v>268</v>
      </c>
      <c r="B45" s="24">
        <v>1</v>
      </c>
      <c r="C45" s="24">
        <v>0</v>
      </c>
      <c r="D45" s="24">
        <v>0</v>
      </c>
      <c r="E45" s="24">
        <v>1</v>
      </c>
    </row>
    <row r="46" spans="1:5">
      <c r="A46" s="23" t="s">
        <v>269</v>
      </c>
      <c r="B46" s="24">
        <v>0</v>
      </c>
      <c r="C46" s="24">
        <v>0</v>
      </c>
      <c r="D46" s="24">
        <v>1</v>
      </c>
      <c r="E46" s="24">
        <v>1</v>
      </c>
    </row>
    <row r="47" spans="1:5">
      <c r="A47" s="23" t="s">
        <v>248</v>
      </c>
      <c r="B47" s="24">
        <v>470</v>
      </c>
      <c r="C47" s="24">
        <v>16</v>
      </c>
      <c r="D47" s="24">
        <v>17</v>
      </c>
      <c r="E47" s="24">
        <v>503</v>
      </c>
    </row>
    <row r="49" spans="1:5">
      <c r="A49" s="22" t="s">
        <v>270</v>
      </c>
      <c r="B49" s="22"/>
      <c r="C49" s="22"/>
      <c r="D49" s="22"/>
    </row>
    <row r="50" spans="1:5">
      <c r="A50" s="28" t="s">
        <v>250</v>
      </c>
      <c r="B50" s="28" t="s">
        <v>245</v>
      </c>
      <c r="C50" s="28" t="s">
        <v>246</v>
      </c>
      <c r="D50" s="28" t="s">
        <v>247</v>
      </c>
      <c r="E50" s="28" t="s">
        <v>248</v>
      </c>
    </row>
    <row r="51" spans="1:5">
      <c r="A51" s="23" t="s">
        <v>37</v>
      </c>
      <c r="B51" s="24">
        <v>115</v>
      </c>
      <c r="C51" s="24">
        <v>3</v>
      </c>
      <c r="D51" s="24">
        <v>4</v>
      </c>
      <c r="E51" s="24">
        <v>122</v>
      </c>
    </row>
    <row r="52" spans="1:5">
      <c r="A52" s="23" t="s">
        <v>38</v>
      </c>
      <c r="B52" s="24">
        <v>59</v>
      </c>
      <c r="C52" s="24">
        <v>2</v>
      </c>
      <c r="D52" s="24">
        <v>2</v>
      </c>
      <c r="E52" s="24">
        <v>63</v>
      </c>
    </row>
    <row r="53" spans="1:5">
      <c r="A53" s="23" t="s">
        <v>39</v>
      </c>
      <c r="B53" s="24">
        <v>62</v>
      </c>
      <c r="C53" s="24">
        <v>1</v>
      </c>
      <c r="D53" s="24">
        <v>1</v>
      </c>
      <c r="E53" s="24">
        <v>64</v>
      </c>
    </row>
    <row r="54" spans="1:5">
      <c r="A54" s="23" t="s">
        <v>40</v>
      </c>
      <c r="B54" s="24">
        <v>59</v>
      </c>
      <c r="C54" s="24">
        <v>3</v>
      </c>
      <c r="D54" s="24">
        <v>3</v>
      </c>
      <c r="E54" s="24">
        <v>65</v>
      </c>
    </row>
    <row r="55" spans="1:5">
      <c r="A55" s="23" t="s">
        <v>20</v>
      </c>
      <c r="B55" s="24">
        <v>50</v>
      </c>
      <c r="C55" s="24">
        <v>2</v>
      </c>
      <c r="D55" s="24">
        <v>3</v>
      </c>
      <c r="E55" s="24">
        <v>55</v>
      </c>
    </row>
    <row r="56" spans="1:5">
      <c r="A56" s="23" t="s">
        <v>41</v>
      </c>
      <c r="B56" s="24">
        <v>42</v>
      </c>
      <c r="C56" s="24">
        <v>4</v>
      </c>
      <c r="D56" s="24">
        <v>2</v>
      </c>
      <c r="E56" s="24">
        <v>48</v>
      </c>
    </row>
    <row r="57" spans="1:5">
      <c r="A57" s="23" t="s">
        <v>42</v>
      </c>
      <c r="B57" s="24">
        <v>83</v>
      </c>
      <c r="C57" s="24">
        <v>1</v>
      </c>
      <c r="D57" s="24">
        <v>2</v>
      </c>
      <c r="E57" s="24">
        <v>86</v>
      </c>
    </row>
    <row r="58" spans="1:5">
      <c r="A58" s="23" t="s">
        <v>248</v>
      </c>
      <c r="B58" s="24">
        <v>470</v>
      </c>
      <c r="C58" s="24">
        <v>16</v>
      </c>
      <c r="D58" s="24">
        <v>17</v>
      </c>
      <c r="E58" s="24">
        <v>503</v>
      </c>
    </row>
    <row r="60" spans="1:5">
      <c r="A60" s="30" t="s">
        <v>271</v>
      </c>
    </row>
  </sheetData>
  <mergeCells count="6">
    <mergeCell ref="A1:E1"/>
    <mergeCell ref="A3:E3"/>
    <mergeCell ref="A8:E8"/>
    <mergeCell ref="A14:E14"/>
    <mergeCell ref="A21:D21"/>
    <mergeCell ref="A49:D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01_Executive_Summary</vt:lpstr>
      <vt:lpstr>02_Weekday_Buckets</vt:lpstr>
      <vt:lpstr>02_Weekend_Slots</vt:lpstr>
      <vt:lpstr>02_Day_of_Week</vt:lpstr>
      <vt:lpstr>03_Timeslot_Performance</vt:lpstr>
      <vt:lpstr>03_Slot_Trajectory</vt:lpstr>
      <vt:lpstr>03_Slot_Longitudinal</vt:lpstr>
      <vt:lpstr>04_Instructor_Performance</vt:lpstr>
      <vt:lpstr>04_Instructor_Longitudinal</vt:lpstr>
      <vt:lpstr>05_Monthly_Trend</vt:lpstr>
      <vt:lpstr>05_Weekly_Trend</vt:lpstr>
      <vt:lpstr>Orders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2026-09-10T00:36:43Z</dcterms:created>
  <dcterms:modified xsi:type="dcterms:W3CDTF">2026-09-10T00:36:43Z</dcterms:modified>
</cp:coreProperties>
</file>